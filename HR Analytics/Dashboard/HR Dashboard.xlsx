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GitHub Projects\HR Analytics\"/>
    </mc:Choice>
  </mc:AlternateContent>
  <xr:revisionPtr revIDLastSave="0" documentId="8_{30B18478-CC41-4F62-826B-844B97E8D8DF}" xr6:coauthVersionLast="47" xr6:coauthVersionMax="47" xr10:uidLastSave="{00000000-0000-0000-0000-000000000000}"/>
  <bookViews>
    <workbookView xWindow="-108" yWindow="-108" windowWidth="23256" windowHeight="12576" activeTab="2" xr2:uid="{00000000-000D-0000-FFFF-FFFF00000000}"/>
  </bookViews>
  <sheets>
    <sheet name="Sheet3" sheetId="11" r:id="rId1"/>
    <sheet name="Sheet2" sheetId="10" r:id="rId2"/>
    <sheet name="HR Dashboard" sheetId="13" r:id="rId3"/>
  </sheets>
  <definedNames>
    <definedName name="Slicer_Age_Band1">#N/A</definedName>
    <definedName name="Slicer_Department1">#N/A</definedName>
    <definedName name="Slicer_Gender1">#N/A</definedName>
    <definedName name="Slicer_Hiring_Source1">#N/A</definedName>
    <definedName name="Slicer_Loc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1" i="11" l="1"/>
  <c r="J30" i="11"/>
  <c r="J29" i="11"/>
  <c r="J28" i="11"/>
  <c r="J27" i="11"/>
  <c r="J26" i="11"/>
  <c r="J25" i="11"/>
  <c r="J24" i="11"/>
  <c r="J23" i="11"/>
  <c r="J22" i="11"/>
  <c r="J21" i="11"/>
  <c r="J20" i="11"/>
  <c r="J19" i="11"/>
  <c r="J18" i="11"/>
  <c r="J17" i="11"/>
  <c r="J16" i="11"/>
  <c r="J15" i="11"/>
  <c r="J14" i="11"/>
  <c r="J13" i="11"/>
  <c r="J12" i="11"/>
  <c r="J11" i="11"/>
  <c r="J10" i="11"/>
  <c r="J9" i="11"/>
  <c r="J8" i="11"/>
  <c r="J7" i="11"/>
  <c r="J6" i="11"/>
  <c r="J5" i="11"/>
  <c r="J4" i="11"/>
  <c r="J3" i="11"/>
  <c r="J2" i="11"/>
</calcChain>
</file>

<file path=xl/sharedStrings.xml><?xml version="1.0" encoding="utf-8"?>
<sst xmlns="http://schemas.openxmlformats.org/spreadsheetml/2006/main" count="298" uniqueCount="96">
  <si>
    <t>Employee ID</t>
  </si>
  <si>
    <t>Name</t>
  </si>
  <si>
    <t>Age</t>
  </si>
  <si>
    <t>Gender</t>
  </si>
  <si>
    <t>Department</t>
  </si>
  <si>
    <t>Hiring Source</t>
  </si>
  <si>
    <t>Date of Joining</t>
  </si>
  <si>
    <t>Location</t>
  </si>
  <si>
    <t>Experience (Years)</t>
  </si>
  <si>
    <t>Arjun Rao</t>
  </si>
  <si>
    <t>Male</t>
  </si>
  <si>
    <t>Marketing</t>
  </si>
  <si>
    <t>Job Portal</t>
  </si>
  <si>
    <t>2018-11-09</t>
  </si>
  <si>
    <t>Hyderabad</t>
  </si>
  <si>
    <t>Suma Iyer</t>
  </si>
  <si>
    <t>Female</t>
  </si>
  <si>
    <t>IT</t>
  </si>
  <si>
    <t>2021-08-29</t>
  </si>
  <si>
    <t>Delhi</t>
  </si>
  <si>
    <t>Ravi Kumar</t>
  </si>
  <si>
    <t>Operations</t>
  </si>
  <si>
    <t>Walk-in</t>
  </si>
  <si>
    <t>2024-07-21</t>
  </si>
  <si>
    <t>Chennai</t>
  </si>
  <si>
    <t>Meera Joshi</t>
  </si>
  <si>
    <t>2022-06-10</t>
  </si>
  <si>
    <t>Mumbai</t>
  </si>
  <si>
    <t>Imran Shaikh</t>
  </si>
  <si>
    <t>Company Website</t>
  </si>
  <si>
    <t>2023-09-16</t>
  </si>
  <si>
    <t>Anjali Menon</t>
  </si>
  <si>
    <t>2022-08-07</t>
  </si>
  <si>
    <t>Karan Desai</t>
  </si>
  <si>
    <t>HR</t>
  </si>
  <si>
    <t>Referral</t>
  </si>
  <si>
    <t>2022-02-01</t>
  </si>
  <si>
    <t>Bangalore</t>
  </si>
  <si>
    <t>Pooja Verma</t>
  </si>
  <si>
    <t>Finance</t>
  </si>
  <si>
    <t>2022-04-11</t>
  </si>
  <si>
    <t>Rahul Jain</t>
  </si>
  <si>
    <t>2021-12-20</t>
  </si>
  <si>
    <t>Divya Sinha</t>
  </si>
  <si>
    <t>2022-03-31</t>
  </si>
  <si>
    <t>Pune</t>
  </si>
  <si>
    <t>Vikram Patel</t>
  </si>
  <si>
    <t>Campus Hiring</t>
  </si>
  <si>
    <t>2023-07-27</t>
  </si>
  <si>
    <t>Nisha Roy</t>
  </si>
  <si>
    <t>2023-08-15</t>
  </si>
  <si>
    <t>Tarun Bhatia</t>
  </si>
  <si>
    <t>2020-10-11</t>
  </si>
  <si>
    <t>Rekha Sharma</t>
  </si>
  <si>
    <t>2020-05-03</t>
  </si>
  <si>
    <t>Zaid Khan</t>
  </si>
  <si>
    <t>2018-05-17</t>
  </si>
  <si>
    <t>Sneha Reddy</t>
  </si>
  <si>
    <t>2020-05-23</t>
  </si>
  <si>
    <t>Gaurav Mehta</t>
  </si>
  <si>
    <t>2024-01-21</t>
  </si>
  <si>
    <t>Lakshmi Nair</t>
  </si>
  <si>
    <t>2024-05-18</t>
  </si>
  <si>
    <t>Deepak Verma</t>
  </si>
  <si>
    <t>2023-05-24</t>
  </si>
  <si>
    <t>Ishita Das</t>
  </si>
  <si>
    <t>2020-10-05</t>
  </si>
  <si>
    <t>Ajay Prasad</t>
  </si>
  <si>
    <t>2019-10-12</t>
  </si>
  <si>
    <t>Fatima Noor</t>
  </si>
  <si>
    <t>2024-08-10</t>
  </si>
  <si>
    <t>Vivek Anand</t>
  </si>
  <si>
    <t>2023-04-27</t>
  </si>
  <si>
    <t>Kavya Shetty</t>
  </si>
  <si>
    <t>2024-10-21</t>
  </si>
  <si>
    <t>Rohan Malhotra</t>
  </si>
  <si>
    <t>2024-11-04</t>
  </si>
  <si>
    <t>Preeti Agarwal</t>
  </si>
  <si>
    <t>2019-04-10</t>
  </si>
  <si>
    <t>Siddharth Bose</t>
  </si>
  <si>
    <t>2024-01-15</t>
  </si>
  <si>
    <t>Neha Kapoor</t>
  </si>
  <si>
    <t>2021-07-19</t>
  </si>
  <si>
    <t>Aamir Hussain</t>
  </si>
  <si>
    <t>2018-10-04</t>
  </si>
  <si>
    <t>Ritu Sen</t>
  </si>
  <si>
    <t>2022-07-14</t>
  </si>
  <si>
    <t>Row Labels</t>
  </si>
  <si>
    <t>Grand Total</t>
  </si>
  <si>
    <t>Age Band</t>
  </si>
  <si>
    <t>&lt;25</t>
  </si>
  <si>
    <t>&gt;40</t>
  </si>
  <si>
    <t>25-30</t>
  </si>
  <si>
    <t>31-40</t>
  </si>
  <si>
    <t>Sum of Employee 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</si>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</sst>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entury Gothic"/>
      <family val="2"/>
      <scheme val="minor"/>
    </font>
    <font>
      <b/>
      <sz val="11"/>
      <color theme="1"/>
      <name val="Century Gothic"/>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1" xfId="0" applyBorder="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Dashboard.xlsx]Sheet2!Department with number of employees</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Sheet2!$A$4:$A$9</c:f>
              <c:strCache>
                <c:ptCount val="5"/>
                <c:pt idx="0">
                  <c:v>Finance</c:v>
                </c:pt>
                <c:pt idx="1">
                  <c:v>HR</c:v>
                </c:pt>
                <c:pt idx="2">
                  <c:v>IT</c:v>
                </c:pt>
                <c:pt idx="3">
                  <c:v>Marketing</c:v>
                </c:pt>
                <c:pt idx="4">
                  <c:v>Operations</c:v>
                </c:pt>
              </c:strCache>
            </c:strRef>
          </c:cat>
          <c:val>
            <c:numRef>
              <c:f>Sheet2!$B$4:$B$9</c:f>
              <c:numCache>
                <c:formatCode>General</c:formatCode>
                <c:ptCount val="5"/>
                <c:pt idx="0">
                  <c:v>3036</c:v>
                </c:pt>
                <c:pt idx="1">
                  <c:v>6101</c:v>
                </c:pt>
                <c:pt idx="2">
                  <c:v>3015</c:v>
                </c:pt>
                <c:pt idx="3">
                  <c:v>9135</c:v>
                </c:pt>
                <c:pt idx="4">
                  <c:v>9178</c:v>
                </c:pt>
              </c:numCache>
            </c:numRef>
          </c:val>
          <c:extLst>
            <c:ext xmlns:c16="http://schemas.microsoft.com/office/drawing/2014/chart" uri="{C3380CC4-5D6E-409C-BE32-E72D297353CC}">
              <c16:uniqueId val="{00000000-8F33-4746-A9BD-D2FE04D288D9}"/>
            </c:ext>
          </c:extLst>
        </c:ser>
        <c:dLbls>
          <c:showLegendKey val="0"/>
          <c:showVal val="0"/>
          <c:showCatName val="0"/>
          <c:showSerName val="0"/>
          <c:showPercent val="0"/>
          <c:showBubbleSize val="0"/>
        </c:dLbls>
        <c:gapWidth val="150"/>
        <c:overlap val="100"/>
        <c:axId val="1669837199"/>
        <c:axId val="1669827119"/>
      </c:barChart>
      <c:catAx>
        <c:axId val="16698371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827119"/>
        <c:crosses val="autoZero"/>
        <c:auto val="1"/>
        <c:lblAlgn val="ctr"/>
        <c:lblOffset val="100"/>
        <c:noMultiLvlLbl val="0"/>
      </c:catAx>
      <c:valAx>
        <c:axId val="1669827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83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Dashboard.xlsx]Sheet2!Hiring source with Employees</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Sheet2!$A$15:$A$20</c:f>
              <c:strCache>
                <c:ptCount val="5"/>
                <c:pt idx="0">
                  <c:v>Campus Hiring</c:v>
                </c:pt>
                <c:pt idx="1">
                  <c:v>Company Website</c:v>
                </c:pt>
                <c:pt idx="2">
                  <c:v>Job Portal</c:v>
                </c:pt>
                <c:pt idx="3">
                  <c:v>Referral</c:v>
                </c:pt>
                <c:pt idx="4">
                  <c:v>Walk-in</c:v>
                </c:pt>
              </c:strCache>
            </c:strRef>
          </c:cat>
          <c:val>
            <c:numRef>
              <c:f>Sheet2!$B$15:$B$20</c:f>
              <c:numCache>
                <c:formatCode>General</c:formatCode>
                <c:ptCount val="5"/>
                <c:pt idx="0">
                  <c:v>4085</c:v>
                </c:pt>
                <c:pt idx="1">
                  <c:v>5059</c:v>
                </c:pt>
                <c:pt idx="2">
                  <c:v>8109</c:v>
                </c:pt>
                <c:pt idx="3">
                  <c:v>6100</c:v>
                </c:pt>
                <c:pt idx="4">
                  <c:v>7112</c:v>
                </c:pt>
              </c:numCache>
            </c:numRef>
          </c:val>
          <c:smooth val="0"/>
          <c:extLst>
            <c:ext xmlns:c16="http://schemas.microsoft.com/office/drawing/2014/chart" uri="{C3380CC4-5D6E-409C-BE32-E72D297353CC}">
              <c16:uniqueId val="{00000000-ADC6-4034-91B9-3C9319D00D78}"/>
            </c:ext>
          </c:extLst>
        </c:ser>
        <c:dLbls>
          <c:dLblPos val="t"/>
          <c:showLegendKey val="0"/>
          <c:showVal val="1"/>
          <c:showCatName val="0"/>
          <c:showSerName val="0"/>
          <c:showPercent val="0"/>
          <c:showBubbleSize val="0"/>
        </c:dLbls>
        <c:marker val="1"/>
        <c:smooth val="0"/>
        <c:axId val="1626140015"/>
        <c:axId val="1626140495"/>
      </c:lineChart>
      <c:catAx>
        <c:axId val="16261400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26140495"/>
        <c:crosses val="autoZero"/>
        <c:auto val="1"/>
        <c:lblAlgn val="ctr"/>
        <c:lblOffset val="100"/>
        <c:noMultiLvlLbl val="0"/>
      </c:catAx>
      <c:valAx>
        <c:axId val="16261404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2614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Dashboard.xlsx]Sheet2!Employees wtotal with Location</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1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11"/>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12"/>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13"/>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14"/>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s>
    <c:plotArea>
      <c:layout/>
      <c:doughnutChart>
        <c:varyColors val="1"/>
        <c:ser>
          <c:idx val="0"/>
          <c:order val="0"/>
          <c:tx>
            <c:strRef>
              <c:f>Sheet2!$B$25</c:f>
              <c:strCache>
                <c:ptCount val="1"/>
                <c:pt idx="0">
                  <c:v>Total</c:v>
                </c:pt>
              </c:strCache>
            </c:strRef>
          </c:tx>
          <c:dPt>
            <c:idx val="0"/>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1-1827-42F5-8A1D-96E3BC6A0CA6}"/>
              </c:ext>
            </c:extLst>
          </c:dPt>
          <c:dPt>
            <c:idx val="1"/>
            <c:bubble3D val="0"/>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3-1827-42F5-8A1D-96E3BC6A0CA6}"/>
              </c:ext>
            </c:extLst>
          </c:dPt>
          <c:dPt>
            <c:idx val="2"/>
            <c:bubble3D val="0"/>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5-1827-42F5-8A1D-96E3BC6A0CA6}"/>
              </c:ext>
            </c:extLst>
          </c:dPt>
          <c:dPt>
            <c:idx val="3"/>
            <c:bubble3D val="0"/>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7-1827-42F5-8A1D-96E3BC6A0CA6}"/>
              </c:ext>
            </c:extLst>
          </c:dPt>
          <c:dPt>
            <c:idx val="4"/>
            <c:bubble3D val="0"/>
            <c:spPr>
              <a:gradFill rotWithShape="1">
                <a:gsLst>
                  <a:gs pos="0">
                    <a:schemeClr val="accent5">
                      <a:tint val="98000"/>
                      <a:hueMod val="94000"/>
                      <a:satMod val="130000"/>
                      <a:lumMod val="128000"/>
                    </a:schemeClr>
                  </a:gs>
                  <a:gs pos="100000">
                    <a:schemeClr val="accent5">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9-1827-42F5-8A1D-96E3BC6A0CA6}"/>
              </c:ext>
            </c:extLst>
          </c:dPt>
          <c:dPt>
            <c:idx val="5"/>
            <c:bubble3D val="0"/>
            <c:spPr>
              <a:gradFill rotWithShape="1">
                <a:gsLst>
                  <a:gs pos="0">
                    <a:schemeClr val="accent6">
                      <a:tint val="98000"/>
                      <a:hueMod val="94000"/>
                      <a:satMod val="130000"/>
                      <a:lumMod val="128000"/>
                    </a:schemeClr>
                  </a:gs>
                  <a:gs pos="100000">
                    <a:schemeClr val="accent6">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B-1827-42F5-8A1D-96E3BC6A0C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Sheet2!$A$26:$A$32</c:f>
              <c:strCache>
                <c:ptCount val="6"/>
                <c:pt idx="0">
                  <c:v>Bangalore</c:v>
                </c:pt>
                <c:pt idx="1">
                  <c:v>Chennai</c:v>
                </c:pt>
                <c:pt idx="2">
                  <c:v>Delhi</c:v>
                </c:pt>
                <c:pt idx="3">
                  <c:v>Hyderabad</c:v>
                </c:pt>
                <c:pt idx="4">
                  <c:v>Mumbai</c:v>
                </c:pt>
                <c:pt idx="5">
                  <c:v>Pune</c:v>
                </c:pt>
              </c:strCache>
            </c:strRef>
          </c:cat>
          <c:val>
            <c:numRef>
              <c:f>Sheet2!$B$26:$B$32</c:f>
              <c:numCache>
                <c:formatCode>General</c:formatCode>
                <c:ptCount val="6"/>
                <c:pt idx="0">
                  <c:v>7132</c:v>
                </c:pt>
                <c:pt idx="1">
                  <c:v>6077</c:v>
                </c:pt>
                <c:pt idx="2">
                  <c:v>4055</c:v>
                </c:pt>
                <c:pt idx="3">
                  <c:v>6086</c:v>
                </c:pt>
                <c:pt idx="4">
                  <c:v>2026</c:v>
                </c:pt>
                <c:pt idx="5">
                  <c:v>5089</c:v>
                </c:pt>
              </c:numCache>
            </c:numRef>
          </c:val>
          <c:extLst>
            <c:ext xmlns:c16="http://schemas.microsoft.com/office/drawing/2014/chart" uri="{C3380CC4-5D6E-409C-BE32-E72D297353CC}">
              <c16:uniqueId val="{0000000C-1827-42F5-8A1D-96E3BC6A0CA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Dashboard.xlsx]Sheet2!Gender with employee count</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Sheet2!$B$36</c:f>
              <c:strCache>
                <c:ptCount val="1"/>
                <c:pt idx="0">
                  <c:v>Total</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Sheet2!$A$37:$A$39</c:f>
              <c:strCache>
                <c:ptCount val="2"/>
                <c:pt idx="0">
                  <c:v>Female</c:v>
                </c:pt>
                <c:pt idx="1">
                  <c:v>Male</c:v>
                </c:pt>
              </c:strCache>
            </c:strRef>
          </c:cat>
          <c:val>
            <c:numRef>
              <c:f>Sheet2!$B$37:$B$39</c:f>
              <c:numCache>
                <c:formatCode>General</c:formatCode>
                <c:ptCount val="2"/>
                <c:pt idx="0">
                  <c:v>15204</c:v>
                </c:pt>
                <c:pt idx="1">
                  <c:v>15261</c:v>
                </c:pt>
              </c:numCache>
            </c:numRef>
          </c:val>
          <c:extLst>
            <c:ext xmlns:c16="http://schemas.microsoft.com/office/drawing/2014/chart" uri="{C3380CC4-5D6E-409C-BE32-E72D297353CC}">
              <c16:uniqueId val="{00000000-2C7D-44F9-A774-5B7B7AA0A800}"/>
            </c:ext>
          </c:extLst>
        </c:ser>
        <c:dLbls>
          <c:dLblPos val="ctr"/>
          <c:showLegendKey val="0"/>
          <c:showVal val="1"/>
          <c:showCatName val="0"/>
          <c:showSerName val="0"/>
          <c:showPercent val="0"/>
          <c:showBubbleSize val="0"/>
        </c:dLbls>
        <c:gapWidth val="150"/>
        <c:overlap val="100"/>
        <c:axId val="1856401183"/>
        <c:axId val="1856393503"/>
      </c:barChart>
      <c:catAx>
        <c:axId val="1856401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6393503"/>
        <c:crosses val="autoZero"/>
        <c:auto val="1"/>
        <c:lblAlgn val="ctr"/>
        <c:lblOffset val="100"/>
        <c:noMultiLvlLbl val="0"/>
      </c:catAx>
      <c:valAx>
        <c:axId val="1856393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640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Dashboard.xlsx]Sheet2!Job portal with Gender</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pivotFmt>
    </c:pivotFmts>
    <c:plotArea>
      <c:layout/>
      <c:barChart>
        <c:barDir val="col"/>
        <c:grouping val="stacked"/>
        <c:varyColors val="0"/>
        <c:ser>
          <c:idx val="0"/>
          <c:order val="0"/>
          <c:tx>
            <c:strRef>
              <c:f>Sheet2!$B$56:$B$57</c:f>
              <c:strCache>
                <c:ptCount val="1"/>
                <c:pt idx="0">
                  <c:v>Female</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Sheet2!$A$58:$A$63</c:f>
              <c:strCache>
                <c:ptCount val="5"/>
                <c:pt idx="0">
                  <c:v>Campus Hiring</c:v>
                </c:pt>
                <c:pt idx="1">
                  <c:v>Company Website</c:v>
                </c:pt>
                <c:pt idx="2">
                  <c:v>Job Portal</c:v>
                </c:pt>
                <c:pt idx="3">
                  <c:v>Referral</c:v>
                </c:pt>
                <c:pt idx="4">
                  <c:v>Walk-in</c:v>
                </c:pt>
              </c:strCache>
            </c:strRef>
          </c:cat>
          <c:val>
            <c:numRef>
              <c:f>Sheet2!$B$58:$B$63</c:f>
              <c:numCache>
                <c:formatCode>General</c:formatCode>
                <c:ptCount val="5"/>
                <c:pt idx="0">
                  <c:v>2048</c:v>
                </c:pt>
                <c:pt idx="1">
                  <c:v>2029</c:v>
                </c:pt>
                <c:pt idx="2">
                  <c:v>4045</c:v>
                </c:pt>
                <c:pt idx="3">
                  <c:v>2024</c:v>
                </c:pt>
                <c:pt idx="4">
                  <c:v>5058</c:v>
                </c:pt>
              </c:numCache>
            </c:numRef>
          </c:val>
          <c:extLst>
            <c:ext xmlns:c16="http://schemas.microsoft.com/office/drawing/2014/chart" uri="{C3380CC4-5D6E-409C-BE32-E72D297353CC}">
              <c16:uniqueId val="{00000000-1D2A-4731-A890-538DB2D9BA49}"/>
            </c:ext>
          </c:extLst>
        </c:ser>
        <c:ser>
          <c:idx val="1"/>
          <c:order val="1"/>
          <c:tx>
            <c:strRef>
              <c:f>Sheet2!$C$56:$C$57</c:f>
              <c:strCache>
                <c:ptCount val="1"/>
                <c:pt idx="0">
                  <c:v>Male</c:v>
                </c:pt>
              </c:strCache>
            </c:strRef>
          </c:tx>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Sheet2!$A$58:$A$63</c:f>
              <c:strCache>
                <c:ptCount val="5"/>
                <c:pt idx="0">
                  <c:v>Campus Hiring</c:v>
                </c:pt>
                <c:pt idx="1">
                  <c:v>Company Website</c:v>
                </c:pt>
                <c:pt idx="2">
                  <c:v>Job Portal</c:v>
                </c:pt>
                <c:pt idx="3">
                  <c:v>Referral</c:v>
                </c:pt>
                <c:pt idx="4">
                  <c:v>Walk-in</c:v>
                </c:pt>
              </c:strCache>
            </c:strRef>
          </c:cat>
          <c:val>
            <c:numRef>
              <c:f>Sheet2!$C$58:$C$63</c:f>
              <c:numCache>
                <c:formatCode>General</c:formatCode>
                <c:ptCount val="5"/>
                <c:pt idx="0">
                  <c:v>2037</c:v>
                </c:pt>
                <c:pt idx="1">
                  <c:v>3030</c:v>
                </c:pt>
                <c:pt idx="2">
                  <c:v>4064</c:v>
                </c:pt>
                <c:pt idx="3">
                  <c:v>4076</c:v>
                </c:pt>
                <c:pt idx="4">
                  <c:v>2054</c:v>
                </c:pt>
              </c:numCache>
            </c:numRef>
          </c:val>
          <c:extLst>
            <c:ext xmlns:c16="http://schemas.microsoft.com/office/drawing/2014/chart" uri="{C3380CC4-5D6E-409C-BE32-E72D297353CC}">
              <c16:uniqueId val="{00000006-1D2A-4731-A890-538DB2D9BA49}"/>
            </c:ext>
          </c:extLst>
        </c:ser>
        <c:dLbls>
          <c:dLblPos val="ctr"/>
          <c:showLegendKey val="0"/>
          <c:showVal val="1"/>
          <c:showCatName val="0"/>
          <c:showSerName val="0"/>
          <c:showPercent val="0"/>
          <c:showBubbleSize val="0"/>
        </c:dLbls>
        <c:gapWidth val="150"/>
        <c:overlap val="100"/>
        <c:axId val="1856386783"/>
        <c:axId val="1856383903"/>
      </c:barChart>
      <c:catAx>
        <c:axId val="18563867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6383903"/>
        <c:crosses val="autoZero"/>
        <c:auto val="1"/>
        <c:lblAlgn val="ctr"/>
        <c:lblOffset val="100"/>
        <c:noMultiLvlLbl val="0"/>
      </c:catAx>
      <c:valAx>
        <c:axId val="18563839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638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Dashboard.xlsx]Sheet2!Age with employee count with Gender</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pivotFmt>
    </c:pivotFmts>
    <c:plotArea>
      <c:layout/>
      <c:barChart>
        <c:barDir val="col"/>
        <c:grouping val="clustered"/>
        <c:varyColors val="0"/>
        <c:ser>
          <c:idx val="0"/>
          <c:order val="0"/>
          <c:tx>
            <c:strRef>
              <c:f>Sheet2!$B$67:$B$68</c:f>
              <c:strCache>
                <c:ptCount val="1"/>
                <c:pt idx="0">
                  <c:v>Female</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Sheet2!$A$69:$A$73</c:f>
              <c:strCache>
                <c:ptCount val="4"/>
                <c:pt idx="0">
                  <c:v>&lt;25</c:v>
                </c:pt>
                <c:pt idx="1">
                  <c:v>&gt;40</c:v>
                </c:pt>
                <c:pt idx="2">
                  <c:v>25-30</c:v>
                </c:pt>
                <c:pt idx="3">
                  <c:v>31-40</c:v>
                </c:pt>
              </c:strCache>
            </c:strRef>
          </c:cat>
          <c:val>
            <c:numRef>
              <c:f>Sheet2!$B$69:$B$73</c:f>
              <c:numCache>
                <c:formatCode>General</c:formatCode>
                <c:ptCount val="4"/>
                <c:pt idx="0">
                  <c:v>1003</c:v>
                </c:pt>
                <c:pt idx="1">
                  <c:v>7103</c:v>
                </c:pt>
                <c:pt idx="2">
                  <c:v>3039</c:v>
                </c:pt>
                <c:pt idx="3">
                  <c:v>4059</c:v>
                </c:pt>
              </c:numCache>
            </c:numRef>
          </c:val>
          <c:extLst>
            <c:ext xmlns:c16="http://schemas.microsoft.com/office/drawing/2014/chart" uri="{C3380CC4-5D6E-409C-BE32-E72D297353CC}">
              <c16:uniqueId val="{00000000-4A54-4821-B2C8-1F1EF1F0EB56}"/>
            </c:ext>
          </c:extLst>
        </c:ser>
        <c:ser>
          <c:idx val="1"/>
          <c:order val="1"/>
          <c:tx>
            <c:strRef>
              <c:f>Sheet2!$C$67:$C$68</c:f>
              <c:strCache>
                <c:ptCount val="1"/>
                <c:pt idx="0">
                  <c:v>Male</c:v>
                </c:pt>
              </c:strCache>
            </c:strRef>
          </c:tx>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Sheet2!$A$69:$A$73</c:f>
              <c:strCache>
                <c:ptCount val="4"/>
                <c:pt idx="0">
                  <c:v>&lt;25</c:v>
                </c:pt>
                <c:pt idx="1">
                  <c:v>&gt;40</c:v>
                </c:pt>
                <c:pt idx="2">
                  <c:v>25-30</c:v>
                </c:pt>
                <c:pt idx="3">
                  <c:v>31-40</c:v>
                </c:pt>
              </c:strCache>
            </c:strRef>
          </c:cat>
          <c:val>
            <c:numRef>
              <c:f>Sheet2!$C$69:$C$73</c:f>
              <c:numCache>
                <c:formatCode>General</c:formatCode>
                <c:ptCount val="4"/>
                <c:pt idx="0">
                  <c:v>2029</c:v>
                </c:pt>
                <c:pt idx="1">
                  <c:v>8178</c:v>
                </c:pt>
                <c:pt idx="2">
                  <c:v>3042</c:v>
                </c:pt>
                <c:pt idx="3">
                  <c:v>2012</c:v>
                </c:pt>
              </c:numCache>
            </c:numRef>
          </c:val>
          <c:extLst>
            <c:ext xmlns:c16="http://schemas.microsoft.com/office/drawing/2014/chart" uri="{C3380CC4-5D6E-409C-BE32-E72D297353CC}">
              <c16:uniqueId val="{00000006-4A54-4821-B2C8-1F1EF1F0EB56}"/>
            </c:ext>
          </c:extLst>
        </c:ser>
        <c:dLbls>
          <c:dLblPos val="outEnd"/>
          <c:showLegendKey val="0"/>
          <c:showVal val="1"/>
          <c:showCatName val="0"/>
          <c:showSerName val="0"/>
          <c:showPercent val="0"/>
          <c:showBubbleSize val="0"/>
        </c:dLbls>
        <c:gapWidth val="100"/>
        <c:overlap val="-24"/>
        <c:axId val="1856395423"/>
        <c:axId val="1856400223"/>
      </c:barChart>
      <c:catAx>
        <c:axId val="1856395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6400223"/>
        <c:crosses val="autoZero"/>
        <c:auto val="1"/>
        <c:lblAlgn val="ctr"/>
        <c:lblOffset val="100"/>
        <c:noMultiLvlLbl val="0"/>
      </c:catAx>
      <c:valAx>
        <c:axId val="1856400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639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434340</xdr:colOff>
      <xdr:row>9</xdr:row>
      <xdr:rowOff>144780</xdr:rowOff>
    </xdr:from>
    <xdr:to>
      <xdr:col>6</xdr:col>
      <xdr:colOff>83820</xdr:colOff>
      <xdr:row>49</xdr:row>
      <xdr:rowOff>0</xdr:rowOff>
    </xdr:to>
    <xdr:sp macro="" textlink="">
      <xdr:nvSpPr>
        <xdr:cNvPr id="2" name="Rectangle: Rounded Corners 1">
          <a:extLst>
            <a:ext uri="{FF2B5EF4-FFF2-40B4-BE49-F238E27FC236}">
              <a16:creationId xmlns:a16="http://schemas.microsoft.com/office/drawing/2014/main" id="{443A4F59-599B-EB64-3868-77845ED393F5}"/>
            </a:ext>
          </a:extLst>
        </xdr:cNvPr>
        <xdr:cNvSpPr/>
      </xdr:nvSpPr>
      <xdr:spPr>
        <a:xfrm>
          <a:off x="434340" y="1765762"/>
          <a:ext cx="4581698" cy="7059583"/>
        </a:xfrm>
        <a:prstGeom prst="roundRect">
          <a:avLst/>
        </a:prstGeom>
        <a:solidFill>
          <a:schemeClr val="tx1">
            <a:alpha val="18000"/>
          </a:schemeClr>
        </a:soli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7</xdr:col>
      <xdr:colOff>0</xdr:colOff>
      <xdr:row>6</xdr:row>
      <xdr:rowOff>0</xdr:rowOff>
    </xdr:from>
    <xdr:to>
      <xdr:col>37</xdr:col>
      <xdr:colOff>388620</xdr:colOff>
      <xdr:row>62</xdr:row>
      <xdr:rowOff>0</xdr:rowOff>
    </xdr:to>
    <xdr:sp macro="" textlink="">
      <xdr:nvSpPr>
        <xdr:cNvPr id="3" name="Rectangle: Rounded Corners 2">
          <a:extLst>
            <a:ext uri="{FF2B5EF4-FFF2-40B4-BE49-F238E27FC236}">
              <a16:creationId xmlns:a16="http://schemas.microsoft.com/office/drawing/2014/main" id="{39E09912-805E-18CA-8AF5-7117A0613758}"/>
            </a:ext>
          </a:extLst>
        </xdr:cNvPr>
        <xdr:cNvSpPr/>
      </xdr:nvSpPr>
      <xdr:spPr>
        <a:xfrm>
          <a:off x="5597236" y="1080655"/>
          <a:ext cx="20339166" cy="10086109"/>
        </a:xfrm>
        <a:prstGeom prst="roundRect">
          <a:avLst>
            <a:gd name="adj" fmla="val 19777"/>
          </a:avLst>
        </a:prstGeom>
        <a:solidFill>
          <a:schemeClr val="accent3">
            <a:lumMod val="40000"/>
            <a:lumOff val="60000"/>
            <a:alpha val="18000"/>
          </a:schemeClr>
        </a:soli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19</xdr:row>
      <xdr:rowOff>0</xdr:rowOff>
    </xdr:from>
    <xdr:to>
      <xdr:col>16</xdr:col>
      <xdr:colOff>263237</xdr:colOff>
      <xdr:row>33</xdr:row>
      <xdr:rowOff>0</xdr:rowOff>
    </xdr:to>
    <xdr:graphicFrame macro="">
      <xdr:nvGraphicFramePr>
        <xdr:cNvPr id="4" name="Chart 3">
          <a:extLst>
            <a:ext uri="{FF2B5EF4-FFF2-40B4-BE49-F238E27FC236}">
              <a16:creationId xmlns:a16="http://schemas.microsoft.com/office/drawing/2014/main" id="{867FA910-86E9-42BA-9923-D09B7DDC4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289192</xdr:colOff>
      <xdr:row>19</xdr:row>
      <xdr:rowOff>0</xdr:rowOff>
    </xdr:from>
    <xdr:to>
      <xdr:col>27</xdr:col>
      <xdr:colOff>0</xdr:colOff>
      <xdr:row>33</xdr:row>
      <xdr:rowOff>0</xdr:rowOff>
    </xdr:to>
    <xdr:graphicFrame macro="">
      <xdr:nvGraphicFramePr>
        <xdr:cNvPr id="5" name="Chart 4">
          <a:extLst>
            <a:ext uri="{FF2B5EF4-FFF2-40B4-BE49-F238E27FC236}">
              <a16:creationId xmlns:a16="http://schemas.microsoft.com/office/drawing/2014/main" id="{356B1B58-E4D0-40D4-B8A0-A913DE8CD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304800</xdr:colOff>
      <xdr:row>37</xdr:row>
      <xdr:rowOff>55419</xdr:rowOff>
    </xdr:from>
    <xdr:to>
      <xdr:col>26</xdr:col>
      <xdr:colOff>0</xdr:colOff>
      <xdr:row>52</xdr:row>
      <xdr:rowOff>55418</xdr:rowOff>
    </xdr:to>
    <xdr:graphicFrame macro="">
      <xdr:nvGraphicFramePr>
        <xdr:cNvPr id="6" name="Chart 5">
          <a:extLst>
            <a:ext uri="{FF2B5EF4-FFF2-40B4-BE49-F238E27FC236}">
              <a16:creationId xmlns:a16="http://schemas.microsoft.com/office/drawing/2014/main" id="{A4FA76AD-B2EE-442A-A3F8-B1ACB6D76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645990</xdr:colOff>
      <xdr:row>37</xdr:row>
      <xdr:rowOff>1</xdr:rowOff>
    </xdr:from>
    <xdr:to>
      <xdr:col>35</xdr:col>
      <xdr:colOff>346365</xdr:colOff>
      <xdr:row>52</xdr:row>
      <xdr:rowOff>0</xdr:rowOff>
    </xdr:to>
    <xdr:graphicFrame macro="">
      <xdr:nvGraphicFramePr>
        <xdr:cNvPr id="7" name="Chart 6">
          <a:extLst>
            <a:ext uri="{FF2B5EF4-FFF2-40B4-BE49-F238E27FC236}">
              <a16:creationId xmlns:a16="http://schemas.microsoft.com/office/drawing/2014/main" id="{9920BA19-5C52-4AE3-BF0E-BDEE1901C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0</xdr:colOff>
      <xdr:row>19</xdr:row>
      <xdr:rowOff>0</xdr:rowOff>
    </xdr:from>
    <xdr:to>
      <xdr:col>35</xdr:col>
      <xdr:colOff>295953</xdr:colOff>
      <xdr:row>32</xdr:row>
      <xdr:rowOff>180108</xdr:rowOff>
    </xdr:to>
    <xdr:graphicFrame macro="">
      <xdr:nvGraphicFramePr>
        <xdr:cNvPr id="8" name="Chart 7">
          <a:extLst>
            <a:ext uri="{FF2B5EF4-FFF2-40B4-BE49-F238E27FC236}">
              <a16:creationId xmlns:a16="http://schemas.microsoft.com/office/drawing/2014/main" id="{7CE59BDC-5422-4AD9-9FF6-8062C943F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37</xdr:row>
      <xdr:rowOff>152400</xdr:rowOff>
    </xdr:from>
    <xdr:to>
      <xdr:col>16</xdr:col>
      <xdr:colOff>0</xdr:colOff>
      <xdr:row>52</xdr:row>
      <xdr:rowOff>152399</xdr:rowOff>
    </xdr:to>
    <xdr:graphicFrame macro="">
      <xdr:nvGraphicFramePr>
        <xdr:cNvPr id="9" name="Chart 8">
          <a:extLst>
            <a:ext uri="{FF2B5EF4-FFF2-40B4-BE49-F238E27FC236}">
              <a16:creationId xmlns:a16="http://schemas.microsoft.com/office/drawing/2014/main" id="{782DF314-6D85-4517-BC26-34CEABAE5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632460</xdr:colOff>
      <xdr:row>15</xdr:row>
      <xdr:rowOff>7620</xdr:rowOff>
    </xdr:from>
    <xdr:to>
      <xdr:col>2</xdr:col>
      <xdr:colOff>7620</xdr:colOff>
      <xdr:row>29</xdr:row>
      <xdr:rowOff>20955</xdr:rowOff>
    </xdr:to>
    <mc:AlternateContent xmlns:mc="http://schemas.openxmlformats.org/markup-compatibility/2006" xmlns:a14="http://schemas.microsoft.com/office/drawing/2010/main">
      <mc:Choice Requires="a14">
        <xdr:graphicFrame macro="">
          <xdr:nvGraphicFramePr>
            <xdr:cNvPr id="10" name="Department 2">
              <a:extLst>
                <a:ext uri="{FF2B5EF4-FFF2-40B4-BE49-F238E27FC236}">
                  <a16:creationId xmlns:a16="http://schemas.microsoft.com/office/drawing/2014/main" id="{600B7B34-9747-4DDE-8530-99EE3A58CEFD}"/>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632460" y="2645312"/>
              <a:ext cx="1825283" cy="2475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617220</xdr:colOff>
      <xdr:row>29</xdr:row>
      <xdr:rowOff>137160</xdr:rowOff>
    </xdr:from>
    <xdr:to>
      <xdr:col>1</xdr:col>
      <xdr:colOff>1059180</xdr:colOff>
      <xdr:row>43</xdr:row>
      <xdr:rowOff>150495</xdr:rowOff>
    </xdr:to>
    <mc:AlternateContent xmlns:mc="http://schemas.openxmlformats.org/markup-compatibility/2006" xmlns:a14="http://schemas.microsoft.com/office/drawing/2010/main">
      <mc:Choice Requires="a14">
        <xdr:graphicFrame macro="">
          <xdr:nvGraphicFramePr>
            <xdr:cNvPr id="11" name="Hiring Source 2">
              <a:extLst>
                <a:ext uri="{FF2B5EF4-FFF2-40B4-BE49-F238E27FC236}">
                  <a16:creationId xmlns:a16="http://schemas.microsoft.com/office/drawing/2014/main" id="{88B4CFEF-C4D2-406A-9BD8-C4F07B1A8973}"/>
                </a:ext>
              </a:extLst>
            </xdr:cNvPr>
            <xdr:cNvGraphicFramePr/>
          </xdr:nvGraphicFramePr>
          <xdr:xfrm>
            <a:off x="0" y="0"/>
            <a:ext cx="0" cy="0"/>
          </xdr:xfrm>
          <a:graphic>
            <a:graphicData uri="http://schemas.microsoft.com/office/drawing/2010/slicer">
              <sle:slicer xmlns:sle="http://schemas.microsoft.com/office/drawing/2010/slicer" name="Hiring Source 2"/>
            </a:graphicData>
          </a:graphic>
        </xdr:graphicFrame>
      </mc:Choice>
      <mc:Fallback xmlns="">
        <xdr:sp macro="" textlink="">
          <xdr:nvSpPr>
            <xdr:cNvPr id="0" name=""/>
            <xdr:cNvSpPr>
              <a:spLocks noTextEdit="1"/>
            </xdr:cNvSpPr>
          </xdr:nvSpPr>
          <xdr:spPr>
            <a:xfrm>
              <a:off x="617220" y="5236698"/>
              <a:ext cx="1825283" cy="2475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22</xdr:row>
      <xdr:rowOff>115194</xdr:rowOff>
    </xdr:from>
    <xdr:to>
      <xdr:col>5</xdr:col>
      <xdr:colOff>419100</xdr:colOff>
      <xdr:row>36</xdr:row>
      <xdr:rowOff>128530</xdr:rowOff>
    </xdr:to>
    <mc:AlternateContent xmlns:mc="http://schemas.openxmlformats.org/markup-compatibility/2006" xmlns:a14="http://schemas.microsoft.com/office/drawing/2010/main">
      <mc:Choice Requires="a14">
        <xdr:graphicFrame macro="">
          <xdr:nvGraphicFramePr>
            <xdr:cNvPr id="12" name="Location">
              <a:extLst>
                <a:ext uri="{FF2B5EF4-FFF2-40B4-BE49-F238E27FC236}">
                  <a16:creationId xmlns:a16="http://schemas.microsoft.com/office/drawing/2014/main" id="{F089A302-37AA-4C4F-868E-AE24923204A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860431" y="3983809"/>
              <a:ext cx="1825869" cy="2475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358049</xdr:colOff>
      <xdr:row>15</xdr:row>
      <xdr:rowOff>64265</xdr:rowOff>
    </xdr:from>
    <xdr:to>
      <xdr:col>5</xdr:col>
      <xdr:colOff>368210</xdr:colOff>
      <xdr:row>20</xdr:row>
      <xdr:rowOff>159889</xdr:rowOff>
    </xdr:to>
    <mc:AlternateContent xmlns:mc="http://schemas.openxmlformats.org/markup-compatibility/2006" xmlns:a14="http://schemas.microsoft.com/office/drawing/2010/main">
      <mc:Choice Requires="a14">
        <xdr:graphicFrame macro="">
          <xdr:nvGraphicFramePr>
            <xdr:cNvPr id="13" name="Gender 2">
              <a:extLst>
                <a:ext uri="{FF2B5EF4-FFF2-40B4-BE49-F238E27FC236}">
                  <a16:creationId xmlns:a16="http://schemas.microsoft.com/office/drawing/2014/main" id="{3742ADD9-5E2A-467B-B01B-6F669922A86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808172" y="2701957"/>
              <a:ext cx="1827238" cy="974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37</xdr:row>
      <xdr:rowOff>75374</xdr:rowOff>
    </xdr:from>
    <xdr:to>
      <xdr:col>5</xdr:col>
      <xdr:colOff>419100</xdr:colOff>
      <xdr:row>46</xdr:row>
      <xdr:rowOff>0</xdr:rowOff>
    </xdr:to>
    <mc:AlternateContent xmlns:mc="http://schemas.openxmlformats.org/markup-compatibility/2006" xmlns:a14="http://schemas.microsoft.com/office/drawing/2010/main">
      <mc:Choice Requires="a14">
        <xdr:graphicFrame macro="">
          <xdr:nvGraphicFramePr>
            <xdr:cNvPr id="14" name="Age Band 2">
              <a:extLst>
                <a:ext uri="{FF2B5EF4-FFF2-40B4-BE49-F238E27FC236}">
                  <a16:creationId xmlns:a16="http://schemas.microsoft.com/office/drawing/2014/main" id="{FCD8CF0A-6C7C-46BC-882C-CEE145FB8D8D}"/>
                </a:ext>
              </a:extLst>
            </xdr:cNvPr>
            <xdr:cNvGraphicFramePr/>
          </xdr:nvGraphicFramePr>
          <xdr:xfrm>
            <a:off x="0" y="0"/>
            <a:ext cx="0" cy="0"/>
          </xdr:xfrm>
          <a:graphic>
            <a:graphicData uri="http://schemas.microsoft.com/office/drawing/2010/slicer">
              <sle:slicer xmlns:sle="http://schemas.microsoft.com/office/drawing/2010/slicer" name="Age Band 2"/>
            </a:graphicData>
          </a:graphic>
        </xdr:graphicFrame>
      </mc:Choice>
      <mc:Fallback xmlns="">
        <xdr:sp macro="" textlink="">
          <xdr:nvSpPr>
            <xdr:cNvPr id="0" name=""/>
            <xdr:cNvSpPr>
              <a:spLocks noTextEdit="1"/>
            </xdr:cNvSpPr>
          </xdr:nvSpPr>
          <xdr:spPr>
            <a:xfrm>
              <a:off x="2860431" y="6581682"/>
              <a:ext cx="1825869" cy="1507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152401</xdr:colOff>
      <xdr:row>12</xdr:row>
      <xdr:rowOff>55418</xdr:rowOff>
    </xdr:from>
    <xdr:to>
      <xdr:col>14</xdr:col>
      <xdr:colOff>152400</xdr:colOff>
      <xdr:row>16</xdr:row>
      <xdr:rowOff>0</xdr:rowOff>
    </xdr:to>
    <xdr:sp macro="" textlink="">
      <xdr:nvSpPr>
        <xdr:cNvPr id="15" name="TextBox 14">
          <a:extLst>
            <a:ext uri="{FF2B5EF4-FFF2-40B4-BE49-F238E27FC236}">
              <a16:creationId xmlns:a16="http://schemas.microsoft.com/office/drawing/2014/main" id="{B4C537E5-5AC6-CEE7-3745-2069CC1BE097}"/>
            </a:ext>
          </a:extLst>
        </xdr:cNvPr>
        <xdr:cNvSpPr txBox="1"/>
      </xdr:nvSpPr>
      <xdr:spPr>
        <a:xfrm>
          <a:off x="8428893" y="2165572"/>
          <a:ext cx="2004645" cy="647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t>30465</a:t>
          </a:r>
        </a:p>
      </xdr:txBody>
    </xdr:sp>
    <xdr:clientData/>
  </xdr:twoCellAnchor>
  <xdr:twoCellAnchor>
    <xdr:from>
      <xdr:col>9</xdr:col>
      <xdr:colOff>429491</xdr:colOff>
      <xdr:row>7</xdr:row>
      <xdr:rowOff>0</xdr:rowOff>
    </xdr:from>
    <xdr:to>
      <xdr:col>16</xdr:col>
      <xdr:colOff>429490</xdr:colOff>
      <xdr:row>11</xdr:row>
      <xdr:rowOff>0</xdr:rowOff>
    </xdr:to>
    <xdr:sp macro="" textlink="Sheet2!B9">
      <xdr:nvSpPr>
        <xdr:cNvPr id="16" name="TextBox 15">
          <a:extLst>
            <a:ext uri="{FF2B5EF4-FFF2-40B4-BE49-F238E27FC236}">
              <a16:creationId xmlns:a16="http://schemas.microsoft.com/office/drawing/2014/main" id="{13A6E1BC-3867-0B3D-DAC1-09637782B1C9}"/>
            </a:ext>
          </a:extLst>
        </xdr:cNvPr>
        <xdr:cNvSpPr txBox="1"/>
      </xdr:nvSpPr>
      <xdr:spPr>
        <a:xfrm>
          <a:off x="7356764" y="1260764"/>
          <a:ext cx="4655126" cy="7204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t>Total</a:t>
          </a:r>
          <a:r>
            <a:rPr lang="en-IN" sz="4000" baseline="0"/>
            <a:t> Employees</a:t>
          </a:r>
          <a:endParaRPr lang="en-IN" sz="4000"/>
        </a:p>
      </xdr:txBody>
    </xdr:sp>
    <xdr:clientData/>
  </xdr:twoCellAnchor>
  <xdr:twoCellAnchor>
    <xdr:from>
      <xdr:col>18</xdr:col>
      <xdr:colOff>2</xdr:colOff>
      <xdr:row>7</xdr:row>
      <xdr:rowOff>27709</xdr:rowOff>
    </xdr:from>
    <xdr:to>
      <xdr:col>25</xdr:col>
      <xdr:colOff>0</xdr:colOff>
      <xdr:row>11</xdr:row>
      <xdr:rowOff>27709</xdr:rowOff>
    </xdr:to>
    <xdr:sp macro="" textlink="Sheet2!B9">
      <xdr:nvSpPr>
        <xdr:cNvPr id="17" name="TextBox 16">
          <a:extLst>
            <a:ext uri="{FF2B5EF4-FFF2-40B4-BE49-F238E27FC236}">
              <a16:creationId xmlns:a16="http://schemas.microsoft.com/office/drawing/2014/main" id="{63278B57-6FF1-336C-B18F-F5C56ACF82FE}"/>
            </a:ext>
          </a:extLst>
        </xdr:cNvPr>
        <xdr:cNvSpPr txBox="1"/>
      </xdr:nvSpPr>
      <xdr:spPr>
        <a:xfrm>
          <a:off x="12912438" y="1288473"/>
          <a:ext cx="4655126" cy="7204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t>Hiring</a:t>
          </a:r>
          <a:r>
            <a:rPr lang="en-IN" sz="4000" baseline="0"/>
            <a:t> Sources</a:t>
          </a:r>
          <a:endParaRPr lang="en-IN" sz="4000"/>
        </a:p>
      </xdr:txBody>
    </xdr:sp>
    <xdr:clientData/>
  </xdr:twoCellAnchor>
  <xdr:twoCellAnchor>
    <xdr:from>
      <xdr:col>20</xdr:col>
      <xdr:colOff>0</xdr:colOff>
      <xdr:row>12</xdr:row>
      <xdr:rowOff>13854</xdr:rowOff>
    </xdr:from>
    <xdr:to>
      <xdr:col>23</xdr:col>
      <xdr:colOff>0</xdr:colOff>
      <xdr:row>16</xdr:row>
      <xdr:rowOff>13854</xdr:rowOff>
    </xdr:to>
    <xdr:sp macro="" textlink="Sheet2!B9">
      <xdr:nvSpPr>
        <xdr:cNvPr id="18" name="TextBox 17">
          <a:extLst>
            <a:ext uri="{FF2B5EF4-FFF2-40B4-BE49-F238E27FC236}">
              <a16:creationId xmlns:a16="http://schemas.microsoft.com/office/drawing/2014/main" id="{9EF7AFFC-572D-505D-2E75-F3422E419ED4}"/>
            </a:ext>
          </a:extLst>
        </xdr:cNvPr>
        <xdr:cNvSpPr txBox="1"/>
      </xdr:nvSpPr>
      <xdr:spPr>
        <a:xfrm>
          <a:off x="14242473" y="2175163"/>
          <a:ext cx="1995054" cy="7204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t>5</a:t>
          </a:r>
        </a:p>
      </xdr:txBody>
    </xdr:sp>
    <xdr:clientData/>
  </xdr:twoCellAnchor>
  <xdr:twoCellAnchor>
    <xdr:from>
      <xdr:col>26</xdr:col>
      <xdr:colOff>1</xdr:colOff>
      <xdr:row>7</xdr:row>
      <xdr:rowOff>0</xdr:rowOff>
    </xdr:from>
    <xdr:to>
      <xdr:col>33</xdr:col>
      <xdr:colOff>0</xdr:colOff>
      <xdr:row>11</xdr:row>
      <xdr:rowOff>0</xdr:rowOff>
    </xdr:to>
    <xdr:sp macro="" textlink="Sheet2!B9">
      <xdr:nvSpPr>
        <xdr:cNvPr id="19" name="TextBox 18">
          <a:extLst>
            <a:ext uri="{FF2B5EF4-FFF2-40B4-BE49-F238E27FC236}">
              <a16:creationId xmlns:a16="http://schemas.microsoft.com/office/drawing/2014/main" id="{5AC0EC36-A0EC-5D01-D11E-6AD372B1F36D}"/>
            </a:ext>
          </a:extLst>
        </xdr:cNvPr>
        <xdr:cNvSpPr txBox="1"/>
      </xdr:nvSpPr>
      <xdr:spPr>
        <a:xfrm>
          <a:off x="18232583" y="1260764"/>
          <a:ext cx="4655126" cy="7204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t>Locations</a:t>
          </a:r>
        </a:p>
      </xdr:txBody>
    </xdr:sp>
    <xdr:clientData/>
  </xdr:twoCellAnchor>
  <xdr:twoCellAnchor>
    <xdr:from>
      <xdr:col>28</xdr:col>
      <xdr:colOff>471054</xdr:colOff>
      <xdr:row>12</xdr:row>
      <xdr:rowOff>0</xdr:rowOff>
    </xdr:from>
    <xdr:to>
      <xdr:col>31</xdr:col>
      <xdr:colOff>471053</xdr:colOff>
      <xdr:row>16</xdr:row>
      <xdr:rowOff>0</xdr:rowOff>
    </xdr:to>
    <xdr:sp macro="" textlink="Sheet2!B9">
      <xdr:nvSpPr>
        <xdr:cNvPr id="20" name="TextBox 19">
          <a:extLst>
            <a:ext uri="{FF2B5EF4-FFF2-40B4-BE49-F238E27FC236}">
              <a16:creationId xmlns:a16="http://schemas.microsoft.com/office/drawing/2014/main" id="{30558B10-CBE7-6242-3F47-A95C8D449EAB}"/>
            </a:ext>
          </a:extLst>
        </xdr:cNvPr>
        <xdr:cNvSpPr txBox="1"/>
      </xdr:nvSpPr>
      <xdr:spPr>
        <a:xfrm>
          <a:off x="20033672" y="2161309"/>
          <a:ext cx="1995054" cy="7204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t>6</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P\Downloads\HR%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3.761204513889" createdVersion="8" refreshedVersion="8" minRefreshableVersion="3" recordCount="30" xr:uid="{837553B9-F6A6-4919-92F3-DB3C31151037}">
  <cacheSource type="worksheet">
    <worksheetSource ref="A1:J31" sheet="HR_Data (2)" r:id="rId2"/>
  </cacheSource>
  <cacheFields count="10">
    <cacheField name="Employee ID" numFmtId="0">
      <sharedItems containsSemiMixedTypes="0" containsString="0" containsNumber="1" containsInteger="1" minValue="1001" maxValue="1030"/>
    </cacheField>
    <cacheField name="Name" numFmtId="0">
      <sharedItems count="30">
        <s v="Arjun Rao"/>
        <s v="Suma Iyer"/>
        <s v="Ravi Kumar"/>
        <s v="Meera Joshi"/>
        <s v="Imran Shaikh"/>
        <s v="Anjali Menon"/>
        <s v="Karan Desai"/>
        <s v="Pooja Verma"/>
        <s v="Rahul Jain"/>
        <s v="Divya Sinha"/>
        <s v="Vikram Patel"/>
        <s v="Nisha Roy"/>
        <s v="Tarun Bhatia"/>
        <s v="Rekha Sharma"/>
        <s v="Zaid Khan"/>
        <s v="Sneha Reddy"/>
        <s v="Gaurav Mehta"/>
        <s v="Lakshmi Nair"/>
        <s v="Deepak Verma"/>
        <s v="Ishita Das"/>
        <s v="Ajay Prasad"/>
        <s v="Fatima Noor"/>
        <s v="Vivek Anand"/>
        <s v="Kavya Shetty"/>
        <s v="Rohan Malhotra"/>
        <s v="Preeti Agarwal"/>
        <s v="Siddharth Bose"/>
        <s v="Neha Kapoor"/>
        <s v="Aamir Hussain"/>
        <s v="Ritu Sen"/>
      </sharedItems>
    </cacheField>
    <cacheField name="Age" numFmtId="0">
      <sharedItems containsSemiMixedTypes="0" containsString="0" containsNumber="1" containsInteger="1" minValue="22" maxValue="49" count="20">
        <n v="39"/>
        <n v="29"/>
        <n v="22"/>
        <n v="46"/>
        <n v="25"/>
        <n v="32"/>
        <n v="23"/>
        <n v="44"/>
        <n v="30"/>
        <n v="49"/>
        <n v="48"/>
        <n v="43"/>
        <n v="45"/>
        <n v="37"/>
        <n v="31"/>
        <n v="24"/>
        <n v="42"/>
        <n v="41"/>
        <n v="47"/>
        <n v="27"/>
      </sharedItems>
    </cacheField>
    <cacheField name="Gender" numFmtId="0">
      <sharedItems count="2">
        <s v="Male"/>
        <s v="Female"/>
      </sharedItems>
    </cacheField>
    <cacheField name="Department" numFmtId="0">
      <sharedItems count="5">
        <s v="Marketing"/>
        <s v="IT"/>
        <s v="Operations"/>
        <s v="HR"/>
        <s v="Finance"/>
      </sharedItems>
    </cacheField>
    <cacheField name="Hiring Source" numFmtId="0">
      <sharedItems count="5">
        <s v="Job Portal"/>
        <s v="Walk-in"/>
        <s v="Company Website"/>
        <s v="Referral"/>
        <s v="Campus Hiring"/>
      </sharedItems>
    </cacheField>
    <cacheField name="Date of Joining" numFmtId="0">
      <sharedItems count="30">
        <s v="2018-11-09"/>
        <s v="2021-08-29"/>
        <s v="2024-07-21"/>
        <s v="2022-06-10"/>
        <s v="2023-09-16"/>
        <s v="2022-08-07"/>
        <s v="2022-02-01"/>
        <s v="2022-04-11"/>
        <s v="2021-12-20"/>
        <s v="2022-03-31"/>
        <s v="2023-07-27"/>
        <s v="2023-08-15"/>
        <s v="2020-10-11"/>
        <s v="2020-05-03"/>
        <s v="2018-05-17"/>
        <s v="2020-05-23"/>
        <s v="2024-01-21"/>
        <s v="2024-05-18"/>
        <s v="2023-05-24"/>
        <s v="2020-10-05"/>
        <s v="2019-10-12"/>
        <s v="2024-08-10"/>
        <s v="2023-04-27"/>
        <s v="2024-10-21"/>
        <s v="2024-11-04"/>
        <s v="2019-04-10"/>
        <s v="2024-01-15"/>
        <s v="2021-07-19"/>
        <s v="2018-10-04"/>
        <s v="2022-07-14"/>
      </sharedItems>
    </cacheField>
    <cacheField name="Location" numFmtId="0">
      <sharedItems count="6">
        <s v="Hyderabad"/>
        <s v="Delhi"/>
        <s v="Chennai"/>
        <s v="Mumbai"/>
        <s v="Bangalore"/>
        <s v="Pune"/>
      </sharedItems>
    </cacheField>
    <cacheField name="Experience (Years)" numFmtId="0">
      <sharedItems containsSemiMixedTypes="0" containsString="0" containsNumber="1" minValue="0.7" maxValue="19.7" count="28">
        <n v="12.9"/>
        <n v="0.7"/>
        <n v="0.9"/>
        <n v="6.4"/>
        <n v="2.2000000000000002"/>
        <n v="5.9"/>
        <n v="1.7"/>
        <n v="4.5"/>
        <n v="3.7"/>
        <n v="18.600000000000001"/>
        <n v="7.7"/>
        <n v="11"/>
        <n v="8.1"/>
        <n v="10.3"/>
        <n v="19.7"/>
        <n v="13.9"/>
        <n v="12.6"/>
        <n v="14.9"/>
        <n v="7.1"/>
        <n v="8.3000000000000007"/>
        <n v="19.2"/>
        <n v="1.4"/>
        <n v="14.6"/>
        <n v="17.3"/>
        <n v="3.8"/>
        <n v="11.6"/>
        <n v="3.4"/>
        <n v="3.1"/>
      </sharedItems>
    </cacheField>
    <cacheField name="Age Band" numFmtId="0">
      <sharedItems count="4">
        <s v="31-40"/>
        <s v="25-30"/>
        <s v="&lt;25"/>
        <s v="&gt;40"/>
      </sharedItems>
    </cacheField>
  </cacheFields>
  <extLst>
    <ext xmlns:x14="http://schemas.microsoft.com/office/spreadsheetml/2009/9/main" uri="{725AE2AE-9491-48be-B2B4-4EB974FC3084}">
      <x14:pivotCacheDefinition pivotCacheId="1800577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x v="0"/>
    <x v="0"/>
    <x v="0"/>
    <x v="0"/>
    <x v="0"/>
    <x v="0"/>
    <x v="0"/>
    <x v="0"/>
    <x v="0"/>
  </r>
  <r>
    <n v="1002"/>
    <x v="1"/>
    <x v="1"/>
    <x v="1"/>
    <x v="1"/>
    <x v="0"/>
    <x v="1"/>
    <x v="1"/>
    <x v="1"/>
    <x v="1"/>
  </r>
  <r>
    <n v="1003"/>
    <x v="2"/>
    <x v="2"/>
    <x v="1"/>
    <x v="2"/>
    <x v="1"/>
    <x v="2"/>
    <x v="2"/>
    <x v="2"/>
    <x v="2"/>
  </r>
  <r>
    <n v="1004"/>
    <x v="3"/>
    <x v="3"/>
    <x v="1"/>
    <x v="1"/>
    <x v="1"/>
    <x v="3"/>
    <x v="3"/>
    <x v="3"/>
    <x v="3"/>
  </r>
  <r>
    <n v="1005"/>
    <x v="4"/>
    <x v="4"/>
    <x v="0"/>
    <x v="0"/>
    <x v="2"/>
    <x v="4"/>
    <x v="2"/>
    <x v="4"/>
    <x v="1"/>
  </r>
  <r>
    <n v="1006"/>
    <x v="5"/>
    <x v="5"/>
    <x v="1"/>
    <x v="2"/>
    <x v="1"/>
    <x v="5"/>
    <x v="2"/>
    <x v="5"/>
    <x v="0"/>
  </r>
  <r>
    <n v="1007"/>
    <x v="6"/>
    <x v="6"/>
    <x v="0"/>
    <x v="3"/>
    <x v="3"/>
    <x v="6"/>
    <x v="4"/>
    <x v="6"/>
    <x v="2"/>
  </r>
  <r>
    <n v="1008"/>
    <x v="7"/>
    <x v="7"/>
    <x v="1"/>
    <x v="4"/>
    <x v="3"/>
    <x v="7"/>
    <x v="0"/>
    <x v="7"/>
    <x v="3"/>
  </r>
  <r>
    <n v="1009"/>
    <x v="8"/>
    <x v="8"/>
    <x v="1"/>
    <x v="1"/>
    <x v="0"/>
    <x v="8"/>
    <x v="2"/>
    <x v="8"/>
    <x v="1"/>
  </r>
  <r>
    <n v="1010"/>
    <x v="9"/>
    <x v="3"/>
    <x v="1"/>
    <x v="3"/>
    <x v="2"/>
    <x v="9"/>
    <x v="5"/>
    <x v="9"/>
    <x v="3"/>
  </r>
  <r>
    <n v="1011"/>
    <x v="10"/>
    <x v="5"/>
    <x v="0"/>
    <x v="0"/>
    <x v="4"/>
    <x v="10"/>
    <x v="1"/>
    <x v="10"/>
    <x v="0"/>
  </r>
  <r>
    <n v="1012"/>
    <x v="11"/>
    <x v="9"/>
    <x v="0"/>
    <x v="3"/>
    <x v="2"/>
    <x v="11"/>
    <x v="1"/>
    <x v="11"/>
    <x v="3"/>
  </r>
  <r>
    <n v="1013"/>
    <x v="12"/>
    <x v="8"/>
    <x v="0"/>
    <x v="4"/>
    <x v="2"/>
    <x v="12"/>
    <x v="5"/>
    <x v="12"/>
    <x v="1"/>
  </r>
  <r>
    <n v="1014"/>
    <x v="13"/>
    <x v="0"/>
    <x v="1"/>
    <x v="0"/>
    <x v="0"/>
    <x v="13"/>
    <x v="4"/>
    <x v="13"/>
    <x v="0"/>
  </r>
  <r>
    <n v="1015"/>
    <x v="14"/>
    <x v="10"/>
    <x v="0"/>
    <x v="4"/>
    <x v="0"/>
    <x v="14"/>
    <x v="4"/>
    <x v="14"/>
    <x v="3"/>
  </r>
  <r>
    <n v="1016"/>
    <x v="15"/>
    <x v="3"/>
    <x v="1"/>
    <x v="0"/>
    <x v="3"/>
    <x v="15"/>
    <x v="0"/>
    <x v="15"/>
    <x v="3"/>
  </r>
  <r>
    <n v="1017"/>
    <x v="16"/>
    <x v="11"/>
    <x v="1"/>
    <x v="2"/>
    <x v="1"/>
    <x v="16"/>
    <x v="0"/>
    <x v="16"/>
    <x v="3"/>
  </r>
  <r>
    <n v="1018"/>
    <x v="17"/>
    <x v="12"/>
    <x v="1"/>
    <x v="2"/>
    <x v="4"/>
    <x v="17"/>
    <x v="5"/>
    <x v="17"/>
    <x v="3"/>
  </r>
  <r>
    <n v="1019"/>
    <x v="18"/>
    <x v="13"/>
    <x v="1"/>
    <x v="0"/>
    <x v="2"/>
    <x v="18"/>
    <x v="5"/>
    <x v="18"/>
    <x v="0"/>
  </r>
  <r>
    <n v="1020"/>
    <x v="19"/>
    <x v="14"/>
    <x v="1"/>
    <x v="0"/>
    <x v="0"/>
    <x v="19"/>
    <x v="0"/>
    <x v="19"/>
    <x v="0"/>
  </r>
  <r>
    <n v="1021"/>
    <x v="20"/>
    <x v="12"/>
    <x v="0"/>
    <x v="3"/>
    <x v="0"/>
    <x v="20"/>
    <x v="4"/>
    <x v="20"/>
    <x v="3"/>
  </r>
  <r>
    <n v="1022"/>
    <x v="21"/>
    <x v="15"/>
    <x v="0"/>
    <x v="2"/>
    <x v="3"/>
    <x v="21"/>
    <x v="3"/>
    <x v="21"/>
    <x v="2"/>
  </r>
  <r>
    <n v="1023"/>
    <x v="22"/>
    <x v="16"/>
    <x v="0"/>
    <x v="0"/>
    <x v="3"/>
    <x v="22"/>
    <x v="4"/>
    <x v="22"/>
    <x v="3"/>
  </r>
  <r>
    <n v="1024"/>
    <x v="23"/>
    <x v="4"/>
    <x v="0"/>
    <x v="3"/>
    <x v="3"/>
    <x v="23"/>
    <x v="0"/>
    <x v="1"/>
    <x v="1"/>
  </r>
  <r>
    <n v="1025"/>
    <x v="24"/>
    <x v="16"/>
    <x v="0"/>
    <x v="2"/>
    <x v="1"/>
    <x v="24"/>
    <x v="4"/>
    <x v="23"/>
    <x v="3"/>
  </r>
  <r>
    <n v="1026"/>
    <x v="25"/>
    <x v="17"/>
    <x v="0"/>
    <x v="0"/>
    <x v="4"/>
    <x v="25"/>
    <x v="2"/>
    <x v="24"/>
    <x v="3"/>
  </r>
  <r>
    <n v="1027"/>
    <x v="26"/>
    <x v="18"/>
    <x v="0"/>
    <x v="3"/>
    <x v="0"/>
    <x v="26"/>
    <x v="4"/>
    <x v="25"/>
    <x v="3"/>
  </r>
  <r>
    <n v="1028"/>
    <x v="27"/>
    <x v="19"/>
    <x v="1"/>
    <x v="2"/>
    <x v="1"/>
    <x v="27"/>
    <x v="2"/>
    <x v="26"/>
    <x v="1"/>
  </r>
  <r>
    <n v="1029"/>
    <x v="28"/>
    <x v="11"/>
    <x v="0"/>
    <x v="2"/>
    <x v="1"/>
    <x v="28"/>
    <x v="5"/>
    <x v="27"/>
    <x v="3"/>
  </r>
  <r>
    <n v="1030"/>
    <x v="29"/>
    <x v="17"/>
    <x v="1"/>
    <x v="2"/>
    <x v="4"/>
    <x v="29"/>
    <x v="1"/>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8413A1-73C8-4391-A564-683ED95C3903}" name="Job portal with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6:D63" firstHeaderRow="1" firstDataRow="2" firstDataCol="1"/>
  <pivotFields count="10">
    <pivotField dataField="1" showAll="0"/>
    <pivotField showAll="0">
      <items count="31">
        <item x="28"/>
        <item x="20"/>
        <item x="5"/>
        <item x="0"/>
        <item x="18"/>
        <item x="9"/>
        <item x="21"/>
        <item x="16"/>
        <item x="4"/>
        <item x="19"/>
        <item x="6"/>
        <item x="23"/>
        <item x="17"/>
        <item x="3"/>
        <item x="27"/>
        <item x="11"/>
        <item x="7"/>
        <item x="25"/>
        <item x="8"/>
        <item x="2"/>
        <item x="13"/>
        <item x="29"/>
        <item x="24"/>
        <item x="26"/>
        <item x="15"/>
        <item x="1"/>
        <item x="12"/>
        <item x="10"/>
        <item x="22"/>
        <item x="14"/>
        <item t="default"/>
      </items>
    </pivotField>
    <pivotField showAll="0">
      <items count="21">
        <item x="2"/>
        <item x="6"/>
        <item x="15"/>
        <item x="4"/>
        <item x="19"/>
        <item x="1"/>
        <item x="8"/>
        <item x="14"/>
        <item x="5"/>
        <item x="13"/>
        <item x="0"/>
        <item x="17"/>
        <item x="16"/>
        <item x="11"/>
        <item x="7"/>
        <item x="12"/>
        <item x="3"/>
        <item x="18"/>
        <item x="10"/>
        <item x="9"/>
        <item t="default"/>
      </items>
    </pivotField>
    <pivotField axis="axisCol" showAll="0">
      <items count="3">
        <item x="1"/>
        <item x="0"/>
        <item t="default"/>
      </items>
    </pivotField>
    <pivotField showAll="0">
      <items count="6">
        <item x="4"/>
        <item x="3"/>
        <item x="1"/>
        <item x="0"/>
        <item x="2"/>
        <item t="default"/>
      </items>
    </pivotField>
    <pivotField axis="axisRow" showAll="0">
      <items count="6">
        <item x="4"/>
        <item x="2"/>
        <item x="0"/>
        <item x="3"/>
        <item x="1"/>
        <item t="default"/>
      </items>
    </pivotField>
    <pivotField showAll="0">
      <items count="31">
        <item x="14"/>
        <item x="28"/>
        <item x="0"/>
        <item x="25"/>
        <item x="20"/>
        <item x="13"/>
        <item x="15"/>
        <item x="19"/>
        <item x="12"/>
        <item x="27"/>
        <item x="1"/>
        <item x="8"/>
        <item x="6"/>
        <item x="9"/>
        <item x="7"/>
        <item x="3"/>
        <item x="29"/>
        <item x="5"/>
        <item x="22"/>
        <item x="18"/>
        <item x="10"/>
        <item x="11"/>
        <item x="4"/>
        <item x="26"/>
        <item x="16"/>
        <item x="17"/>
        <item x="2"/>
        <item x="21"/>
        <item x="23"/>
        <item x="24"/>
        <item t="default"/>
      </items>
    </pivotField>
    <pivotField showAll="0">
      <items count="7">
        <item x="4"/>
        <item x="2"/>
        <item x="1"/>
        <item x="0"/>
        <item x="3"/>
        <item x="5"/>
        <item t="default"/>
      </items>
    </pivotField>
    <pivotField showAll="0"/>
    <pivotField showAll="0">
      <items count="5">
        <item x="2"/>
        <item x="3"/>
        <item x="1"/>
        <item x="0"/>
        <item t="default"/>
      </items>
    </pivotField>
  </pivotFields>
  <rowFields count="1">
    <field x="5"/>
  </rowFields>
  <rowItems count="6">
    <i>
      <x/>
    </i>
    <i>
      <x v="1"/>
    </i>
    <i>
      <x v="2"/>
    </i>
    <i>
      <x v="3"/>
    </i>
    <i>
      <x v="4"/>
    </i>
    <i t="grand">
      <x/>
    </i>
  </rowItems>
  <colFields count="1">
    <field x="3"/>
  </colFields>
  <colItems count="3">
    <i>
      <x/>
    </i>
    <i>
      <x v="1"/>
    </i>
    <i t="grand">
      <x/>
    </i>
  </colItems>
  <dataFields count="1">
    <dataField name="Sum of Employee ID" fld="0" baseField="0" baseItem="0"/>
  </dataFields>
  <chartFormats count="3">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F195B9-2162-49D1-A806-3FABB37A3C01}" name="departme nt wise count with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F85" firstHeaderRow="1" firstDataRow="2" firstDataCol="1"/>
  <pivotFields count="10">
    <pivotField dataField="1" showAll="0"/>
    <pivotField showAll="0">
      <items count="31">
        <item x="28"/>
        <item x="20"/>
        <item x="5"/>
        <item x="0"/>
        <item x="18"/>
        <item x="9"/>
        <item x="21"/>
        <item x="16"/>
        <item x="4"/>
        <item x="19"/>
        <item x="6"/>
        <item x="23"/>
        <item x="17"/>
        <item x="3"/>
        <item x="27"/>
        <item x="11"/>
        <item x="7"/>
        <item x="25"/>
        <item x="8"/>
        <item x="2"/>
        <item x="13"/>
        <item x="29"/>
        <item x="24"/>
        <item x="26"/>
        <item x="15"/>
        <item x="1"/>
        <item x="12"/>
        <item x="10"/>
        <item x="22"/>
        <item x="14"/>
        <item t="default"/>
      </items>
    </pivotField>
    <pivotField showAll="0" defaultSubtotal="0">
      <items count="20">
        <item x="2"/>
        <item x="6"/>
        <item x="15"/>
        <item x="4"/>
        <item x="19"/>
        <item x="1"/>
        <item x="8"/>
        <item x="14"/>
        <item x="5"/>
        <item x="13"/>
        <item x="0"/>
        <item x="17"/>
        <item x="16"/>
        <item x="11"/>
        <item x="7"/>
        <item x="12"/>
        <item x="3"/>
        <item x="18"/>
        <item x="10"/>
        <item x="9"/>
      </items>
    </pivotField>
    <pivotField showAll="0">
      <items count="3">
        <item x="1"/>
        <item x="0"/>
        <item t="default"/>
      </items>
    </pivotField>
    <pivotField axis="axisRow" showAll="0">
      <items count="6">
        <item x="4"/>
        <item x="3"/>
        <item x="1"/>
        <item x="0"/>
        <item x="2"/>
        <item t="default"/>
      </items>
    </pivotField>
    <pivotField showAll="0">
      <items count="6">
        <item x="4"/>
        <item x="2"/>
        <item x="0"/>
        <item x="3"/>
        <item x="1"/>
        <item t="default"/>
      </items>
    </pivotField>
    <pivotField showAll="0">
      <items count="31">
        <item x="14"/>
        <item x="28"/>
        <item x="0"/>
        <item x="25"/>
        <item x="20"/>
        <item x="13"/>
        <item x="15"/>
        <item x="19"/>
        <item x="12"/>
        <item x="27"/>
        <item x="1"/>
        <item x="8"/>
        <item x="6"/>
        <item x="9"/>
        <item x="7"/>
        <item x="3"/>
        <item x="29"/>
        <item x="5"/>
        <item x="22"/>
        <item x="18"/>
        <item x="10"/>
        <item x="11"/>
        <item x="4"/>
        <item x="26"/>
        <item x="16"/>
        <item x="17"/>
        <item x="2"/>
        <item x="21"/>
        <item x="23"/>
        <item x="24"/>
        <item t="default"/>
      </items>
    </pivotField>
    <pivotField showAll="0">
      <items count="7">
        <item x="4"/>
        <item x="2"/>
        <item x="1"/>
        <item x="0"/>
        <item x="3"/>
        <item x="5"/>
        <item t="default"/>
      </items>
    </pivotField>
    <pivotField showAll="0"/>
    <pivotField axis="axisCol" showAll="0">
      <items count="5">
        <item x="2"/>
        <item x="3"/>
        <item x="1"/>
        <item x="0"/>
        <item t="default"/>
      </items>
    </pivotField>
  </pivotFields>
  <rowFields count="1">
    <field x="4"/>
  </rowFields>
  <rowItems count="6">
    <i>
      <x/>
    </i>
    <i>
      <x v="1"/>
    </i>
    <i>
      <x v="2"/>
    </i>
    <i>
      <x v="3"/>
    </i>
    <i>
      <x v="4"/>
    </i>
    <i t="grand">
      <x/>
    </i>
  </rowItems>
  <colFields count="1">
    <field x="9"/>
  </colFields>
  <colItems count="5">
    <i>
      <x/>
    </i>
    <i>
      <x v="1"/>
    </i>
    <i>
      <x v="2"/>
    </i>
    <i>
      <x v="3"/>
    </i>
    <i t="grand">
      <x/>
    </i>
  </colItems>
  <dataFields count="1">
    <dataField name="Sum of Employee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F3C199-5995-4D79-BE7A-44B517AF1F2B}" name="Total employee with Gender and 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D52" firstHeaderRow="1" firstDataRow="2" firstDataCol="1"/>
  <pivotFields count="10">
    <pivotField dataField="1" showAll="0"/>
    <pivotField showAll="0">
      <items count="31">
        <item x="28"/>
        <item x="20"/>
        <item x="5"/>
        <item x="0"/>
        <item x="18"/>
        <item x="9"/>
        <item x="21"/>
        <item x="16"/>
        <item x="4"/>
        <item x="19"/>
        <item x="6"/>
        <item x="23"/>
        <item x="17"/>
        <item x="3"/>
        <item x="27"/>
        <item x="11"/>
        <item x="7"/>
        <item x="25"/>
        <item x="8"/>
        <item x="2"/>
        <item x="13"/>
        <item x="29"/>
        <item x="24"/>
        <item x="26"/>
        <item x="15"/>
        <item x="1"/>
        <item x="12"/>
        <item x="10"/>
        <item x="22"/>
        <item x="14"/>
        <item t="default"/>
      </items>
    </pivotField>
    <pivotField showAll="0">
      <items count="21">
        <item x="2"/>
        <item x="6"/>
        <item x="15"/>
        <item x="4"/>
        <item x="19"/>
        <item x="1"/>
        <item x="8"/>
        <item x="14"/>
        <item x="5"/>
        <item x="13"/>
        <item x="0"/>
        <item x="17"/>
        <item x="16"/>
        <item x="11"/>
        <item x="7"/>
        <item x="12"/>
        <item x="3"/>
        <item x="18"/>
        <item x="10"/>
        <item x="9"/>
        <item t="default"/>
      </items>
    </pivotField>
    <pivotField axis="axisCol" showAll="0">
      <items count="3">
        <item x="1"/>
        <item x="0"/>
        <item t="default"/>
      </items>
    </pivotField>
    <pivotField showAll="0">
      <items count="6">
        <item x="4"/>
        <item x="3"/>
        <item x="1"/>
        <item x="0"/>
        <item x="2"/>
        <item t="default"/>
      </items>
    </pivotField>
    <pivotField showAll="0">
      <items count="6">
        <item x="4"/>
        <item x="2"/>
        <item x="0"/>
        <item x="3"/>
        <item x="1"/>
        <item t="default"/>
      </items>
    </pivotField>
    <pivotField showAll="0">
      <items count="31">
        <item x="14"/>
        <item x="28"/>
        <item x="0"/>
        <item x="25"/>
        <item x="20"/>
        <item x="13"/>
        <item x="15"/>
        <item x="19"/>
        <item x="12"/>
        <item x="27"/>
        <item x="1"/>
        <item x="8"/>
        <item x="6"/>
        <item x="9"/>
        <item x="7"/>
        <item x="3"/>
        <item x="29"/>
        <item x="5"/>
        <item x="22"/>
        <item x="18"/>
        <item x="10"/>
        <item x="11"/>
        <item x="4"/>
        <item x="26"/>
        <item x="16"/>
        <item x="17"/>
        <item x="2"/>
        <item x="21"/>
        <item x="23"/>
        <item x="24"/>
        <item t="default"/>
      </items>
    </pivotField>
    <pivotField axis="axisRow" showAll="0">
      <items count="7">
        <item x="4"/>
        <item x="2"/>
        <item x="1"/>
        <item x="0"/>
        <item x="3"/>
        <item x="5"/>
        <item t="default"/>
      </items>
    </pivotField>
    <pivotField showAll="0"/>
    <pivotField showAll="0">
      <items count="5">
        <item x="2"/>
        <item x="3"/>
        <item x="1"/>
        <item x="0"/>
        <item t="default"/>
      </items>
    </pivotField>
  </pivotFields>
  <rowFields count="1">
    <field x="7"/>
  </rowFields>
  <rowItems count="7">
    <i>
      <x/>
    </i>
    <i>
      <x v="1"/>
    </i>
    <i>
      <x v="2"/>
    </i>
    <i>
      <x v="3"/>
    </i>
    <i>
      <x v="4"/>
    </i>
    <i>
      <x v="5"/>
    </i>
    <i t="grand">
      <x/>
    </i>
  </rowItems>
  <colFields count="1">
    <field x="3"/>
  </colFields>
  <colItems count="3">
    <i>
      <x/>
    </i>
    <i>
      <x v="1"/>
    </i>
    <i t="grand">
      <x/>
    </i>
  </colItems>
  <dataFields count="1">
    <dataField name="Sum of Employee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3279CC-4982-4F36-BBC2-B3A6DFABCB2B}" name="Employees wtotal with 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5:B32" firstHeaderRow="1" firstDataRow="1" firstDataCol="1"/>
  <pivotFields count="10">
    <pivotField dataField="1" showAll="0"/>
    <pivotField showAll="0"/>
    <pivotField showAll="0">
      <items count="21">
        <item x="2"/>
        <item x="6"/>
        <item x="15"/>
        <item x="4"/>
        <item x="19"/>
        <item x="1"/>
        <item x="8"/>
        <item x="14"/>
        <item x="5"/>
        <item x="13"/>
        <item x="0"/>
        <item x="17"/>
        <item x="16"/>
        <item x="11"/>
        <item x="7"/>
        <item x="12"/>
        <item x="3"/>
        <item x="18"/>
        <item x="10"/>
        <item x="9"/>
        <item t="default"/>
      </items>
    </pivotField>
    <pivotField showAll="0">
      <items count="3">
        <item x="1"/>
        <item x="0"/>
        <item t="default"/>
      </items>
    </pivotField>
    <pivotField showAll="0">
      <items count="6">
        <item x="4"/>
        <item x="3"/>
        <item x="1"/>
        <item x="0"/>
        <item x="2"/>
        <item t="default"/>
      </items>
    </pivotField>
    <pivotField showAll="0">
      <items count="6">
        <item x="4"/>
        <item x="2"/>
        <item x="0"/>
        <item x="3"/>
        <item x="1"/>
        <item t="default"/>
      </items>
    </pivotField>
    <pivotField showAll="0"/>
    <pivotField axis="axisRow" showAll="0">
      <items count="7">
        <item x="4"/>
        <item x="2"/>
        <item x="1"/>
        <item x="0"/>
        <item x="3"/>
        <item x="5"/>
        <item t="default"/>
      </items>
    </pivotField>
    <pivotField showAll="0"/>
    <pivotField showAll="0">
      <items count="5">
        <item x="2"/>
        <item x="3"/>
        <item x="1"/>
        <item x="0"/>
        <item t="default"/>
      </items>
    </pivotField>
  </pivotFields>
  <rowFields count="1">
    <field x="7"/>
  </rowFields>
  <rowItems count="7">
    <i>
      <x/>
    </i>
    <i>
      <x v="1"/>
    </i>
    <i>
      <x v="2"/>
    </i>
    <i>
      <x v="3"/>
    </i>
    <i>
      <x v="4"/>
    </i>
    <i>
      <x v="5"/>
    </i>
    <i t="grand">
      <x/>
    </i>
  </rowItems>
  <colItems count="1">
    <i/>
  </colItems>
  <dataFields count="1">
    <dataField name="Sum of Employee ID" fld="0"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 chart="3" format="12">
      <pivotArea type="data" outline="0" fieldPosition="0">
        <references count="2">
          <reference field="4294967294" count="1" selected="0">
            <x v="0"/>
          </reference>
          <reference field="7" count="1" selected="0">
            <x v="3"/>
          </reference>
        </references>
      </pivotArea>
    </chartFormat>
    <chartFormat chart="3" format="13">
      <pivotArea type="data" outline="0" fieldPosition="0">
        <references count="2">
          <reference field="4294967294" count="1" selected="0">
            <x v="0"/>
          </reference>
          <reference field="7" count="1" selected="0">
            <x v="4"/>
          </reference>
        </references>
      </pivotArea>
    </chartFormat>
    <chartFormat chart="3" format="1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CA3684-80BF-4244-A760-E7BA2E4BB51F}" name="Hiring source with Employe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20" firstHeaderRow="1" firstDataRow="1" firstDataCol="1"/>
  <pivotFields count="10">
    <pivotField dataField="1" showAll="0"/>
    <pivotField showAll="0"/>
    <pivotField showAll="0">
      <items count="21">
        <item x="2"/>
        <item x="6"/>
        <item x="15"/>
        <item x="4"/>
        <item x="19"/>
        <item x="1"/>
        <item x="8"/>
        <item x="14"/>
        <item x="5"/>
        <item x="13"/>
        <item x="0"/>
        <item x="17"/>
        <item x="16"/>
        <item x="11"/>
        <item x="7"/>
        <item x="12"/>
        <item x="3"/>
        <item x="18"/>
        <item x="10"/>
        <item x="9"/>
        <item t="default"/>
      </items>
    </pivotField>
    <pivotField showAll="0">
      <items count="3">
        <item x="1"/>
        <item x="0"/>
        <item t="default"/>
      </items>
    </pivotField>
    <pivotField showAll="0">
      <items count="6">
        <item x="4"/>
        <item x="3"/>
        <item x="1"/>
        <item x="0"/>
        <item x="2"/>
        <item t="default"/>
      </items>
    </pivotField>
    <pivotField axis="axisRow" showAll="0">
      <items count="6">
        <item x="4"/>
        <item x="2"/>
        <item x="0"/>
        <item x="3"/>
        <item x="1"/>
        <item t="default"/>
      </items>
    </pivotField>
    <pivotField showAll="0"/>
    <pivotField showAll="0">
      <items count="7">
        <item x="4"/>
        <item x="2"/>
        <item x="1"/>
        <item x="0"/>
        <item x="3"/>
        <item x="5"/>
        <item t="default"/>
      </items>
    </pivotField>
    <pivotField showAll="0"/>
    <pivotField showAll="0">
      <items count="5">
        <item x="2"/>
        <item x="3"/>
        <item x="1"/>
        <item x="0"/>
        <item t="default"/>
      </items>
    </pivotField>
  </pivotFields>
  <rowFields count="1">
    <field x="5"/>
  </rowFields>
  <rowItems count="6">
    <i>
      <x/>
    </i>
    <i>
      <x v="1"/>
    </i>
    <i>
      <x v="2"/>
    </i>
    <i>
      <x v="3"/>
    </i>
    <i>
      <x v="4"/>
    </i>
    <i t="grand">
      <x/>
    </i>
  </rowItems>
  <colItems count="1">
    <i/>
  </colItems>
  <dataFields count="1">
    <dataField name="Sum of Employee ID" fld="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B25AA9-64E7-4FC5-929B-AA302A0E41A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D111" firstHeaderRow="1" firstDataRow="2" firstDataCol="1"/>
  <pivotFields count="10">
    <pivotField dataField="1" showAll="0"/>
    <pivotField showAll="0">
      <items count="31">
        <item x="28"/>
        <item x="20"/>
        <item x="5"/>
        <item x="0"/>
        <item x="18"/>
        <item x="9"/>
        <item x="21"/>
        <item x="16"/>
        <item x="4"/>
        <item x="19"/>
        <item x="6"/>
        <item x="23"/>
        <item x="17"/>
        <item x="3"/>
        <item x="27"/>
        <item x="11"/>
        <item x="7"/>
        <item x="25"/>
        <item x="8"/>
        <item x="2"/>
        <item x="13"/>
        <item x="29"/>
        <item x="24"/>
        <item x="26"/>
        <item x="15"/>
        <item x="1"/>
        <item x="12"/>
        <item x="10"/>
        <item x="22"/>
        <item x="14"/>
        <item t="default"/>
      </items>
    </pivotField>
    <pivotField showAll="0">
      <items count="21">
        <item x="2"/>
        <item x="6"/>
        <item x="15"/>
        <item x="4"/>
        <item x="19"/>
        <item x="1"/>
        <item x="8"/>
        <item x="14"/>
        <item x="5"/>
        <item x="13"/>
        <item x="0"/>
        <item x="17"/>
        <item x="16"/>
        <item x="11"/>
        <item x="7"/>
        <item x="12"/>
        <item x="3"/>
        <item x="18"/>
        <item x="10"/>
        <item x="9"/>
        <item t="default"/>
      </items>
    </pivotField>
    <pivotField axis="axisCol" showAll="0">
      <items count="3">
        <item x="1"/>
        <item x="0"/>
        <item t="default"/>
      </items>
    </pivotField>
    <pivotField showAll="0">
      <items count="6">
        <item x="4"/>
        <item x="3"/>
        <item x="1"/>
        <item x="0"/>
        <item x="2"/>
        <item t="default"/>
      </items>
    </pivotField>
    <pivotField showAll="0">
      <items count="6">
        <item x="4"/>
        <item x="2"/>
        <item x="0"/>
        <item x="3"/>
        <item x="1"/>
        <item t="default"/>
      </items>
    </pivotField>
    <pivotField showAll="0">
      <items count="31">
        <item x="14"/>
        <item x="28"/>
        <item x="0"/>
        <item x="25"/>
        <item x="20"/>
        <item x="13"/>
        <item x="15"/>
        <item x="19"/>
        <item x="12"/>
        <item x="27"/>
        <item x="1"/>
        <item x="8"/>
        <item x="6"/>
        <item x="9"/>
        <item x="7"/>
        <item x="3"/>
        <item x="29"/>
        <item x="5"/>
        <item x="22"/>
        <item x="18"/>
        <item x="10"/>
        <item x="11"/>
        <item x="4"/>
        <item x="26"/>
        <item x="16"/>
        <item x="17"/>
        <item x="2"/>
        <item x="21"/>
        <item x="23"/>
        <item x="24"/>
        <item t="default"/>
      </items>
    </pivotField>
    <pivotField axis="axisRow" showAll="0">
      <items count="7">
        <item x="4"/>
        <item x="2"/>
        <item x="1"/>
        <item x="0"/>
        <item x="3"/>
        <item x="5"/>
        <item t="default"/>
      </items>
    </pivotField>
    <pivotField showAll="0"/>
    <pivotField showAll="0">
      <items count="5">
        <item x="2"/>
        <item x="3"/>
        <item x="1"/>
        <item x="0"/>
        <item t="default"/>
      </items>
    </pivotField>
  </pivotFields>
  <rowFields count="1">
    <field x="7"/>
  </rowFields>
  <rowItems count="7">
    <i>
      <x/>
    </i>
    <i>
      <x v="1"/>
    </i>
    <i>
      <x v="2"/>
    </i>
    <i>
      <x v="3"/>
    </i>
    <i>
      <x v="4"/>
    </i>
    <i>
      <x v="5"/>
    </i>
    <i t="grand">
      <x/>
    </i>
  </rowItems>
  <colFields count="1">
    <field x="3"/>
  </colFields>
  <colItems count="3">
    <i>
      <x/>
    </i>
    <i>
      <x v="1"/>
    </i>
    <i t="grand">
      <x/>
    </i>
  </colItems>
  <dataFields count="1">
    <dataField name="Sum of Employee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846C8B-A228-41FB-8686-1AE842849E8C}" name="Employee count with 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1:F99" firstHeaderRow="1" firstDataRow="2" firstDataCol="1"/>
  <pivotFields count="10">
    <pivotField dataField="1" showAll="0"/>
    <pivotField showAll="0">
      <items count="31">
        <item x="28"/>
        <item x="20"/>
        <item x="5"/>
        <item x="0"/>
        <item x="18"/>
        <item x="9"/>
        <item x="21"/>
        <item x="16"/>
        <item x="4"/>
        <item x="19"/>
        <item x="6"/>
        <item x="23"/>
        <item x="17"/>
        <item x="3"/>
        <item x="27"/>
        <item x="11"/>
        <item x="7"/>
        <item x="25"/>
        <item x="8"/>
        <item x="2"/>
        <item x="13"/>
        <item x="29"/>
        <item x="24"/>
        <item x="26"/>
        <item x="15"/>
        <item x="1"/>
        <item x="12"/>
        <item x="10"/>
        <item x="22"/>
        <item x="14"/>
        <item t="default"/>
      </items>
    </pivotField>
    <pivotField showAll="0" defaultSubtotal="0">
      <items count="20">
        <item x="2"/>
        <item x="6"/>
        <item x="15"/>
        <item x="4"/>
        <item x="19"/>
        <item x="1"/>
        <item x="8"/>
        <item x="14"/>
        <item x="5"/>
        <item x="13"/>
        <item x="0"/>
        <item x="17"/>
        <item x="16"/>
        <item x="11"/>
        <item x="7"/>
        <item x="12"/>
        <item x="3"/>
        <item x="18"/>
        <item x="10"/>
        <item x="9"/>
      </items>
    </pivotField>
    <pivotField showAll="0">
      <items count="3">
        <item x="1"/>
        <item x="0"/>
        <item t="default"/>
      </items>
    </pivotField>
    <pivotField showAll="0">
      <items count="6">
        <item x="4"/>
        <item x="3"/>
        <item x="1"/>
        <item x="0"/>
        <item x="2"/>
        <item t="default"/>
      </items>
    </pivotField>
    <pivotField showAll="0">
      <items count="6">
        <item x="4"/>
        <item x="2"/>
        <item x="0"/>
        <item x="3"/>
        <item x="1"/>
        <item t="default"/>
      </items>
    </pivotField>
    <pivotField showAll="0">
      <items count="31">
        <item x="14"/>
        <item x="28"/>
        <item x="0"/>
        <item x="25"/>
        <item x="20"/>
        <item x="13"/>
        <item x="15"/>
        <item x="19"/>
        <item x="12"/>
        <item x="27"/>
        <item x="1"/>
        <item x="8"/>
        <item x="6"/>
        <item x="9"/>
        <item x="7"/>
        <item x="3"/>
        <item x="29"/>
        <item x="5"/>
        <item x="22"/>
        <item x="18"/>
        <item x="10"/>
        <item x="11"/>
        <item x="4"/>
        <item x="26"/>
        <item x="16"/>
        <item x="17"/>
        <item x="2"/>
        <item x="21"/>
        <item x="23"/>
        <item x="24"/>
        <item t="default"/>
      </items>
    </pivotField>
    <pivotField axis="axisRow" showAll="0">
      <items count="7">
        <item x="4"/>
        <item x="2"/>
        <item x="1"/>
        <item x="0"/>
        <item x="3"/>
        <item x="5"/>
        <item t="default"/>
      </items>
    </pivotField>
    <pivotField showAll="0"/>
    <pivotField axis="axisCol" showAll="0">
      <items count="5">
        <item x="2"/>
        <item x="3"/>
        <item x="1"/>
        <item x="0"/>
        <item t="default"/>
      </items>
    </pivotField>
  </pivotFields>
  <rowFields count="1">
    <field x="7"/>
  </rowFields>
  <rowItems count="7">
    <i>
      <x/>
    </i>
    <i>
      <x v="1"/>
    </i>
    <i>
      <x v="2"/>
    </i>
    <i>
      <x v="3"/>
    </i>
    <i>
      <x v="4"/>
    </i>
    <i>
      <x v="5"/>
    </i>
    <i t="grand">
      <x/>
    </i>
  </rowItems>
  <colFields count="1">
    <field x="9"/>
  </colFields>
  <colItems count="5">
    <i>
      <x/>
    </i>
    <i>
      <x v="1"/>
    </i>
    <i>
      <x v="2"/>
    </i>
    <i>
      <x v="3"/>
    </i>
    <i t="grand">
      <x/>
    </i>
  </colItems>
  <dataFields count="1">
    <dataField name="Sum of Employee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3B3639-7AE9-451C-B300-AEAC6CD9F988}" name="Age with employee count with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7:D73" firstHeaderRow="1" firstDataRow="2" firstDataCol="1"/>
  <pivotFields count="10">
    <pivotField dataField="1" showAll="0"/>
    <pivotField showAll="0">
      <items count="31">
        <item x="28"/>
        <item x="20"/>
        <item x="5"/>
        <item x="0"/>
        <item x="18"/>
        <item x="9"/>
        <item x="21"/>
        <item x="16"/>
        <item x="4"/>
        <item x="19"/>
        <item x="6"/>
        <item x="23"/>
        <item x="17"/>
        <item x="3"/>
        <item x="27"/>
        <item x="11"/>
        <item x="7"/>
        <item x="25"/>
        <item x="8"/>
        <item x="2"/>
        <item x="13"/>
        <item x="29"/>
        <item x="24"/>
        <item x="26"/>
        <item x="15"/>
        <item x="1"/>
        <item x="12"/>
        <item x="10"/>
        <item x="22"/>
        <item x="14"/>
        <item t="default"/>
      </items>
    </pivotField>
    <pivotField showAll="0" defaultSubtotal="0">
      <items count="20">
        <item x="2"/>
        <item x="6"/>
        <item x="15"/>
        <item x="4"/>
        <item x="19"/>
        <item x="1"/>
        <item x="8"/>
        <item x="14"/>
        <item x="5"/>
        <item x="13"/>
        <item x="0"/>
        <item x="17"/>
        <item x="16"/>
        <item x="11"/>
        <item x="7"/>
        <item x="12"/>
        <item x="3"/>
        <item x="18"/>
        <item x="10"/>
        <item x="9"/>
      </items>
    </pivotField>
    <pivotField axis="axisCol" showAll="0">
      <items count="3">
        <item x="1"/>
        <item x="0"/>
        <item t="default"/>
      </items>
    </pivotField>
    <pivotField showAll="0">
      <items count="6">
        <item x="4"/>
        <item x="3"/>
        <item x="1"/>
        <item x="0"/>
        <item x="2"/>
        <item t="default"/>
      </items>
    </pivotField>
    <pivotField showAll="0">
      <items count="6">
        <item x="4"/>
        <item x="2"/>
        <item x="0"/>
        <item x="3"/>
        <item x="1"/>
        <item t="default"/>
      </items>
    </pivotField>
    <pivotField showAll="0">
      <items count="31">
        <item x="14"/>
        <item x="28"/>
        <item x="0"/>
        <item x="25"/>
        <item x="20"/>
        <item x="13"/>
        <item x="15"/>
        <item x="19"/>
        <item x="12"/>
        <item x="27"/>
        <item x="1"/>
        <item x="8"/>
        <item x="6"/>
        <item x="9"/>
        <item x="7"/>
        <item x="3"/>
        <item x="29"/>
        <item x="5"/>
        <item x="22"/>
        <item x="18"/>
        <item x="10"/>
        <item x="11"/>
        <item x="4"/>
        <item x="26"/>
        <item x="16"/>
        <item x="17"/>
        <item x="2"/>
        <item x="21"/>
        <item x="23"/>
        <item x="24"/>
        <item t="default"/>
      </items>
    </pivotField>
    <pivotField showAll="0">
      <items count="7">
        <item x="4"/>
        <item x="2"/>
        <item x="1"/>
        <item x="0"/>
        <item x="3"/>
        <item x="5"/>
        <item t="default"/>
      </items>
    </pivotField>
    <pivotField showAll="0">
      <items count="29">
        <item x="1"/>
        <item x="2"/>
        <item x="21"/>
        <item x="6"/>
        <item x="4"/>
        <item x="27"/>
        <item x="26"/>
        <item x="8"/>
        <item x="24"/>
        <item x="7"/>
        <item x="5"/>
        <item x="3"/>
        <item x="18"/>
        <item x="10"/>
        <item x="12"/>
        <item x="19"/>
        <item x="13"/>
        <item x="11"/>
        <item x="25"/>
        <item x="16"/>
        <item x="0"/>
        <item x="15"/>
        <item x="22"/>
        <item x="17"/>
        <item x="23"/>
        <item x="9"/>
        <item x="20"/>
        <item x="14"/>
        <item t="default"/>
      </items>
    </pivotField>
    <pivotField axis="axisRow" showAll="0">
      <items count="5">
        <item x="2"/>
        <item x="3"/>
        <item x="1"/>
        <item x="0"/>
        <item t="default"/>
      </items>
    </pivotField>
  </pivotFields>
  <rowFields count="1">
    <field x="9"/>
  </rowFields>
  <rowItems count="5">
    <i>
      <x/>
    </i>
    <i>
      <x v="1"/>
    </i>
    <i>
      <x v="2"/>
    </i>
    <i>
      <x v="3"/>
    </i>
    <i t="grand">
      <x/>
    </i>
  </rowItems>
  <colFields count="1">
    <field x="3"/>
  </colFields>
  <colItems count="3">
    <i>
      <x/>
    </i>
    <i>
      <x v="1"/>
    </i>
    <i t="grand">
      <x/>
    </i>
  </colItems>
  <dataFields count="1">
    <dataField name="Sum of Employee ID" fld="0" baseField="0" baseItem="0"/>
  </dataFields>
  <chartFormats count="3">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BF4FB7-C1BE-4189-A2F7-5468D8BB1D39}" name="Gender with employee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6:B39" firstHeaderRow="1" firstDataRow="1" firstDataCol="1"/>
  <pivotFields count="10">
    <pivotField dataField="1" showAll="0"/>
    <pivotField showAll="0"/>
    <pivotField showAll="0">
      <items count="21">
        <item x="2"/>
        <item x="6"/>
        <item x="15"/>
        <item x="4"/>
        <item x="19"/>
        <item x="1"/>
        <item x="8"/>
        <item x="14"/>
        <item x="5"/>
        <item x="13"/>
        <item x="0"/>
        <item x="17"/>
        <item x="16"/>
        <item x="11"/>
        <item x="7"/>
        <item x="12"/>
        <item x="3"/>
        <item x="18"/>
        <item x="10"/>
        <item x="9"/>
        <item t="default"/>
      </items>
    </pivotField>
    <pivotField axis="axisRow" showAll="0">
      <items count="3">
        <item x="1"/>
        <item x="0"/>
        <item t="default"/>
      </items>
    </pivotField>
    <pivotField showAll="0">
      <items count="6">
        <item x="4"/>
        <item x="3"/>
        <item x="1"/>
        <item x="0"/>
        <item x="2"/>
        <item t="default"/>
      </items>
    </pivotField>
    <pivotField showAll="0">
      <items count="6">
        <item x="4"/>
        <item x="2"/>
        <item x="0"/>
        <item x="3"/>
        <item x="1"/>
        <item t="default"/>
      </items>
    </pivotField>
    <pivotField showAll="0"/>
    <pivotField showAll="0">
      <items count="7">
        <item x="4"/>
        <item x="2"/>
        <item x="1"/>
        <item x="0"/>
        <item x="3"/>
        <item x="5"/>
        <item t="default"/>
      </items>
    </pivotField>
    <pivotField showAll="0"/>
    <pivotField showAll="0">
      <items count="5">
        <item x="2"/>
        <item x="3"/>
        <item x="1"/>
        <item x="0"/>
        <item t="default"/>
      </items>
    </pivotField>
  </pivotFields>
  <rowFields count="1">
    <field x="3"/>
  </rowFields>
  <rowItems count="3">
    <i>
      <x/>
    </i>
    <i>
      <x v="1"/>
    </i>
    <i t="grand">
      <x/>
    </i>
  </rowItems>
  <colItems count="1">
    <i/>
  </colItems>
  <dataFields count="1">
    <dataField name="Sum of Employee ID" fld="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52B1C8-15FB-441E-9DD7-0F21FA46D990}" name="Department with number of employe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0">
    <pivotField dataField="1" showAll="0"/>
    <pivotField showAll="0"/>
    <pivotField showAll="0">
      <items count="21">
        <item x="2"/>
        <item x="6"/>
        <item x="15"/>
        <item x="4"/>
        <item x="19"/>
        <item x="1"/>
        <item x="8"/>
        <item x="14"/>
        <item x="5"/>
        <item x="13"/>
        <item x="0"/>
        <item x="17"/>
        <item x="16"/>
        <item x="11"/>
        <item x="7"/>
        <item x="12"/>
        <item x="3"/>
        <item x="18"/>
        <item x="10"/>
        <item x="9"/>
        <item t="default"/>
      </items>
    </pivotField>
    <pivotField showAll="0">
      <items count="3">
        <item x="1"/>
        <item x="0"/>
        <item t="default"/>
      </items>
    </pivotField>
    <pivotField axis="axisRow" showAll="0">
      <items count="6">
        <item x="4"/>
        <item x="3"/>
        <item x="1"/>
        <item x="0"/>
        <item x="2"/>
        <item t="default"/>
      </items>
    </pivotField>
    <pivotField showAll="0">
      <items count="6">
        <item x="4"/>
        <item x="2"/>
        <item x="0"/>
        <item x="3"/>
        <item x="1"/>
        <item t="default"/>
      </items>
    </pivotField>
    <pivotField showAll="0"/>
    <pivotField showAll="0">
      <items count="7">
        <item x="4"/>
        <item x="2"/>
        <item x="1"/>
        <item x="0"/>
        <item x="3"/>
        <item x="5"/>
        <item t="default"/>
      </items>
    </pivotField>
    <pivotField showAll="0"/>
    <pivotField showAll="0">
      <items count="5">
        <item x="2"/>
        <item x="3"/>
        <item x="1"/>
        <item x="0"/>
        <item t="default"/>
      </items>
    </pivotField>
  </pivotFields>
  <rowFields count="1">
    <field x="4"/>
  </rowFields>
  <rowItems count="6">
    <i>
      <x/>
    </i>
    <i>
      <x v="1"/>
    </i>
    <i>
      <x v="2"/>
    </i>
    <i>
      <x v="3"/>
    </i>
    <i>
      <x v="4"/>
    </i>
    <i t="grand">
      <x/>
    </i>
  </rowItems>
  <colItems count="1">
    <i/>
  </colItems>
  <dataFields count="1">
    <dataField name="Sum of Employee ID" fld="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E9327A00-7A2B-49DA-86D5-7E71F224CF2F}" sourceName="Department">
  <pivotTables>
    <pivotTable tabId="10" name="Department with number of employees"/>
    <pivotTable tabId="10" name="Age with employee count with Gender"/>
    <pivotTable tabId="10" name="departme nt wise count with age"/>
    <pivotTable tabId="10" name="Employee count with Location"/>
    <pivotTable tabId="10" name="Employees wtotal with Location"/>
    <pivotTable tabId="10" name="Gender with employee count"/>
    <pivotTable tabId="10" name="Hiring source with Employees"/>
    <pivotTable tabId="10" name="Job portal with Gender"/>
    <pivotTable tabId="10" name="PivotTable7"/>
    <pivotTable tabId="10" name="Total employee with Gender and location"/>
  </pivotTables>
  <data>
    <tabular pivotCacheId="1800577703">
      <items count="5">
        <i x="4" s="1"/>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Source1" xr10:uid="{9F30BD12-AD2A-4872-9549-E1A4328BCB8E}" sourceName="Hiring Source">
  <pivotTables>
    <pivotTable tabId="10" name="Hiring source with Employees"/>
    <pivotTable tabId="10" name="Age with employee count with Gender"/>
    <pivotTable tabId="10" name="departme nt wise count with age"/>
    <pivotTable tabId="10" name="Department with number of employees"/>
    <pivotTable tabId="10" name="Employee count with Location"/>
    <pivotTable tabId="10" name="Employees wtotal with Location"/>
    <pivotTable tabId="10" name="Gender with employee count"/>
    <pivotTable tabId="10" name="Job portal with Gender"/>
    <pivotTable tabId="10" name="PivotTable7"/>
    <pivotTable tabId="10" name="Total employee with Gender and location"/>
  </pivotTables>
  <data>
    <tabular pivotCacheId="1800577703">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796901C-8209-4E15-94E3-6AA0AFBD7EB7}" sourceName="Location">
  <pivotTables>
    <pivotTable tabId="10" name="Employees wtotal with Location"/>
    <pivotTable tabId="10" name="Age with employee count with Gender"/>
    <pivotTable tabId="10" name="departme nt wise count with age"/>
    <pivotTable tabId="10" name="Department with number of employees"/>
    <pivotTable tabId="10" name="Employee count with Location"/>
    <pivotTable tabId="10" name="Gender with employee count"/>
    <pivotTable tabId="10" name="Hiring source with Employees"/>
    <pivotTable tabId="10" name="Job portal with Gender"/>
    <pivotTable tabId="10" name="PivotTable7"/>
    <pivotTable tabId="10" name="Total employee with Gender and location"/>
  </pivotTables>
  <data>
    <tabular pivotCacheId="1800577703">
      <items count="6">
        <i x="4" s="1"/>
        <i x="2" s="1"/>
        <i x="1" s="1"/>
        <i x="0"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FCF54E4-7A69-433F-9B58-9F195AE3C78F}" sourceName="Gender">
  <pivotTables>
    <pivotTable tabId="10" name="Gender with employee count"/>
    <pivotTable tabId="10" name="Age with employee count with Gender"/>
    <pivotTable tabId="10" name="departme nt wise count with age"/>
    <pivotTable tabId="10" name="Department with number of employees"/>
    <pivotTable tabId="10" name="Employee count with Location"/>
    <pivotTable tabId="10" name="Employees wtotal with Location"/>
    <pivotTable tabId="10" name="Hiring source with Employees"/>
    <pivotTable tabId="10" name="Job portal with Gender"/>
    <pivotTable tabId="10" name="PivotTable7"/>
    <pivotTable tabId="10" name="Total employee with Gender and location"/>
  </pivotTables>
  <data>
    <tabular pivotCacheId="180057770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and1" xr10:uid="{A4B67989-2049-4B52-A3F5-CC727D28DC05}" sourceName="Age Band">
  <pivotTables>
    <pivotTable tabId="10" name="Age with employee count with Gender"/>
    <pivotTable tabId="10" name="departme nt wise count with age"/>
    <pivotTable tabId="10" name="Department with number of employees"/>
    <pivotTable tabId="10" name="Employee count with Location"/>
    <pivotTable tabId="10" name="Employees wtotal with Location"/>
    <pivotTable tabId="10" name="Gender with employee count"/>
    <pivotTable tabId="10" name="Hiring source with Employees"/>
    <pivotTable tabId="10" name="Job portal with Gender"/>
    <pivotTable tabId="10" name="PivotTable7"/>
    <pivotTable tabId="10" name="Total employee with Gender and location"/>
  </pivotTables>
  <data>
    <tabular pivotCacheId="1800577703">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A75734C6-4E5B-4BF1-BE3E-51EC679DF86F}" cache="Slicer_Department1" caption="Department" rowHeight="234950"/>
  <slicer name="Hiring Source 2" xr10:uid="{6B71CD9F-B27A-4AFA-A4FF-565A4B57EF8B}" cache="Slicer_Hiring_Source1" caption="Hiring Source" rowHeight="234950"/>
  <slicer name="Location" xr10:uid="{C8263F94-16DD-4608-885C-E6FFC22A6B38}" cache="Slicer_Location" caption="Location" rowHeight="234950"/>
  <slicer name="Gender 2" xr10:uid="{91A1D003-2A17-4BBB-A10A-BAEFB3D1E7C3}" cache="Slicer_Gender1" caption="Gender" rowHeight="234950"/>
  <slicer name="Age Band 2" xr10:uid="{72A27B3B-5FDB-46D1-8747-8510C8A5DB95}" cache="Slicer_Age_Band1" caption="Age Band" style="SlicerStyleLight2" rowHeight="234950"/>
</slicers>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DDA7D-06EF-4F98-A659-27FF05C4E7BB}">
  <dimension ref="A1:J31"/>
  <sheetViews>
    <sheetView topLeftCell="A3" workbookViewId="0">
      <selection activeCell="L16" sqref="L16"/>
    </sheetView>
  </sheetViews>
  <sheetFormatPr defaultRowHeight="13.8" x14ac:dyDescent="0.25"/>
  <sheetData>
    <row r="1" spans="1:10" x14ac:dyDescent="0.25">
      <c r="A1" s="1" t="s">
        <v>0</v>
      </c>
      <c r="B1" s="1" t="s">
        <v>1</v>
      </c>
      <c r="C1" s="1" t="s">
        <v>2</v>
      </c>
      <c r="D1" s="1" t="s">
        <v>3</v>
      </c>
      <c r="E1" s="1" t="s">
        <v>4</v>
      </c>
      <c r="F1" s="1" t="s">
        <v>5</v>
      </c>
      <c r="G1" s="1" t="s">
        <v>6</v>
      </c>
      <c r="H1" s="1" t="s">
        <v>7</v>
      </c>
      <c r="I1" s="1" t="s">
        <v>8</v>
      </c>
      <c r="J1" s="1" t="s">
        <v>89</v>
      </c>
    </row>
    <row r="2" spans="1:10" x14ac:dyDescent="0.25">
      <c r="A2" s="4">
        <v>1001</v>
      </c>
      <c r="B2" s="4" t="s">
        <v>9</v>
      </c>
      <c r="C2" s="4">
        <v>39</v>
      </c>
      <c r="D2" s="4" t="s">
        <v>10</v>
      </c>
      <c r="E2" s="4" t="s">
        <v>11</v>
      </c>
      <c r="F2" s="4" t="s">
        <v>12</v>
      </c>
      <c r="G2" s="4" t="s">
        <v>13</v>
      </c>
      <c r="H2" s="4" t="s">
        <v>14</v>
      </c>
      <c r="I2" s="4">
        <v>12.9</v>
      </c>
      <c r="J2" s="4" t="str">
        <f>IF(C2&lt;25, "&lt;25", IF(C2&lt;=30, "25-30", IF(C2&lt;=40, "31-40", "&gt;40")))</f>
        <v>31-40</v>
      </c>
    </row>
    <row r="3" spans="1:10" x14ac:dyDescent="0.25">
      <c r="A3" s="4">
        <v>1002</v>
      </c>
      <c r="B3" s="4" t="s">
        <v>15</v>
      </c>
      <c r="C3" s="4">
        <v>29</v>
      </c>
      <c r="D3" s="4" t="s">
        <v>16</v>
      </c>
      <c r="E3" s="4" t="s">
        <v>17</v>
      </c>
      <c r="F3" s="4" t="s">
        <v>12</v>
      </c>
      <c r="G3" s="4" t="s">
        <v>18</v>
      </c>
      <c r="H3" s="4" t="s">
        <v>19</v>
      </c>
      <c r="I3" s="4">
        <v>0.7</v>
      </c>
      <c r="J3" s="4" t="str">
        <f t="shared" ref="J3:J31" si="0">IF(C3&lt;25, "&lt;25", IF(C3&lt;=30, "25-30", IF(C3&lt;=40, "31-40", "&gt;40")))</f>
        <v>25-30</v>
      </c>
    </row>
    <row r="4" spans="1:10" x14ac:dyDescent="0.25">
      <c r="A4" s="4">
        <v>1003</v>
      </c>
      <c r="B4" s="4" t="s">
        <v>20</v>
      </c>
      <c r="C4" s="4">
        <v>22</v>
      </c>
      <c r="D4" s="4" t="s">
        <v>16</v>
      </c>
      <c r="E4" s="4" t="s">
        <v>21</v>
      </c>
      <c r="F4" s="4" t="s">
        <v>22</v>
      </c>
      <c r="G4" s="4" t="s">
        <v>23</v>
      </c>
      <c r="H4" s="4" t="s">
        <v>24</v>
      </c>
      <c r="I4" s="4">
        <v>0.9</v>
      </c>
      <c r="J4" s="4" t="str">
        <f t="shared" si="0"/>
        <v>&lt;25</v>
      </c>
    </row>
    <row r="5" spans="1:10" x14ac:dyDescent="0.25">
      <c r="A5" s="4">
        <v>1004</v>
      </c>
      <c r="B5" s="4" t="s">
        <v>25</v>
      </c>
      <c r="C5" s="4">
        <v>46</v>
      </c>
      <c r="D5" s="4" t="s">
        <v>16</v>
      </c>
      <c r="E5" s="4" t="s">
        <v>17</v>
      </c>
      <c r="F5" s="4" t="s">
        <v>22</v>
      </c>
      <c r="G5" s="4" t="s">
        <v>26</v>
      </c>
      <c r="H5" s="4" t="s">
        <v>27</v>
      </c>
      <c r="I5" s="4">
        <v>6.4</v>
      </c>
      <c r="J5" s="4" t="str">
        <f t="shared" si="0"/>
        <v>&gt;40</v>
      </c>
    </row>
    <row r="6" spans="1:10" x14ac:dyDescent="0.25">
      <c r="A6" s="4">
        <v>1005</v>
      </c>
      <c r="B6" s="4" t="s">
        <v>28</v>
      </c>
      <c r="C6" s="4">
        <v>25</v>
      </c>
      <c r="D6" s="4" t="s">
        <v>10</v>
      </c>
      <c r="E6" s="4" t="s">
        <v>11</v>
      </c>
      <c r="F6" s="4" t="s">
        <v>29</v>
      </c>
      <c r="G6" s="4" t="s">
        <v>30</v>
      </c>
      <c r="H6" s="4" t="s">
        <v>24</v>
      </c>
      <c r="I6" s="4">
        <v>2.2000000000000002</v>
      </c>
      <c r="J6" s="4" t="str">
        <f t="shared" si="0"/>
        <v>25-30</v>
      </c>
    </row>
    <row r="7" spans="1:10" x14ac:dyDescent="0.25">
      <c r="A7" s="4">
        <v>1006</v>
      </c>
      <c r="B7" s="4" t="s">
        <v>31</v>
      </c>
      <c r="C7" s="4">
        <v>32</v>
      </c>
      <c r="D7" s="4" t="s">
        <v>16</v>
      </c>
      <c r="E7" s="4" t="s">
        <v>21</v>
      </c>
      <c r="F7" s="4" t="s">
        <v>22</v>
      </c>
      <c r="G7" s="4" t="s">
        <v>32</v>
      </c>
      <c r="H7" s="4" t="s">
        <v>24</v>
      </c>
      <c r="I7" s="4">
        <v>5.9</v>
      </c>
      <c r="J7" s="4" t="str">
        <f t="shared" si="0"/>
        <v>31-40</v>
      </c>
    </row>
    <row r="8" spans="1:10" x14ac:dyDescent="0.25">
      <c r="A8" s="4">
        <v>1007</v>
      </c>
      <c r="B8" s="4" t="s">
        <v>33</v>
      </c>
      <c r="C8" s="4">
        <v>23</v>
      </c>
      <c r="D8" s="4" t="s">
        <v>10</v>
      </c>
      <c r="E8" s="4" t="s">
        <v>34</v>
      </c>
      <c r="F8" s="4" t="s">
        <v>35</v>
      </c>
      <c r="G8" s="4" t="s">
        <v>36</v>
      </c>
      <c r="H8" s="4" t="s">
        <v>37</v>
      </c>
      <c r="I8" s="4">
        <v>1.7</v>
      </c>
      <c r="J8" s="4" t="str">
        <f t="shared" si="0"/>
        <v>&lt;25</v>
      </c>
    </row>
    <row r="9" spans="1:10" x14ac:dyDescent="0.25">
      <c r="A9" s="4">
        <v>1008</v>
      </c>
      <c r="B9" s="4" t="s">
        <v>38</v>
      </c>
      <c r="C9" s="4">
        <v>44</v>
      </c>
      <c r="D9" s="4" t="s">
        <v>16</v>
      </c>
      <c r="E9" s="4" t="s">
        <v>39</v>
      </c>
      <c r="F9" s="4" t="s">
        <v>35</v>
      </c>
      <c r="G9" s="4" t="s">
        <v>40</v>
      </c>
      <c r="H9" s="4" t="s">
        <v>14</v>
      </c>
      <c r="I9" s="4">
        <v>4.5</v>
      </c>
      <c r="J9" s="4" t="str">
        <f t="shared" si="0"/>
        <v>&gt;40</v>
      </c>
    </row>
    <row r="10" spans="1:10" x14ac:dyDescent="0.25">
      <c r="A10" s="4">
        <v>1009</v>
      </c>
      <c r="B10" s="4" t="s">
        <v>41</v>
      </c>
      <c r="C10" s="4">
        <v>30</v>
      </c>
      <c r="D10" s="4" t="s">
        <v>16</v>
      </c>
      <c r="E10" s="4" t="s">
        <v>17</v>
      </c>
      <c r="F10" s="4" t="s">
        <v>12</v>
      </c>
      <c r="G10" s="4" t="s">
        <v>42</v>
      </c>
      <c r="H10" s="4" t="s">
        <v>24</v>
      </c>
      <c r="I10" s="4">
        <v>3.7</v>
      </c>
      <c r="J10" s="4" t="str">
        <f t="shared" si="0"/>
        <v>25-30</v>
      </c>
    </row>
    <row r="11" spans="1:10" x14ac:dyDescent="0.25">
      <c r="A11" s="4">
        <v>1010</v>
      </c>
      <c r="B11" s="4" t="s">
        <v>43</v>
      </c>
      <c r="C11" s="4">
        <v>46</v>
      </c>
      <c r="D11" s="4" t="s">
        <v>16</v>
      </c>
      <c r="E11" s="4" t="s">
        <v>34</v>
      </c>
      <c r="F11" s="4" t="s">
        <v>29</v>
      </c>
      <c r="G11" s="4" t="s">
        <v>44</v>
      </c>
      <c r="H11" s="4" t="s">
        <v>45</v>
      </c>
      <c r="I11" s="4">
        <v>18.600000000000001</v>
      </c>
      <c r="J11" s="4" t="str">
        <f t="shared" si="0"/>
        <v>&gt;40</v>
      </c>
    </row>
    <row r="12" spans="1:10" x14ac:dyDescent="0.25">
      <c r="A12" s="4">
        <v>1011</v>
      </c>
      <c r="B12" s="4" t="s">
        <v>46</v>
      </c>
      <c r="C12" s="4">
        <v>32</v>
      </c>
      <c r="D12" s="4" t="s">
        <v>10</v>
      </c>
      <c r="E12" s="4" t="s">
        <v>11</v>
      </c>
      <c r="F12" s="4" t="s">
        <v>47</v>
      </c>
      <c r="G12" s="4" t="s">
        <v>48</v>
      </c>
      <c r="H12" s="4" t="s">
        <v>19</v>
      </c>
      <c r="I12" s="4">
        <v>7.7</v>
      </c>
      <c r="J12" s="4" t="str">
        <f t="shared" si="0"/>
        <v>31-40</v>
      </c>
    </row>
    <row r="13" spans="1:10" x14ac:dyDescent="0.25">
      <c r="A13" s="4">
        <v>1012</v>
      </c>
      <c r="B13" s="4" t="s">
        <v>49</v>
      </c>
      <c r="C13" s="4">
        <v>49</v>
      </c>
      <c r="D13" s="4" t="s">
        <v>10</v>
      </c>
      <c r="E13" s="4" t="s">
        <v>34</v>
      </c>
      <c r="F13" s="4" t="s">
        <v>29</v>
      </c>
      <c r="G13" s="4" t="s">
        <v>50</v>
      </c>
      <c r="H13" s="4" t="s">
        <v>19</v>
      </c>
      <c r="I13" s="4">
        <v>11</v>
      </c>
      <c r="J13" s="4" t="str">
        <f t="shared" si="0"/>
        <v>&gt;40</v>
      </c>
    </row>
    <row r="14" spans="1:10" x14ac:dyDescent="0.25">
      <c r="A14" s="4">
        <v>1013</v>
      </c>
      <c r="B14" s="4" t="s">
        <v>51</v>
      </c>
      <c r="C14" s="4">
        <v>30</v>
      </c>
      <c r="D14" s="4" t="s">
        <v>10</v>
      </c>
      <c r="E14" s="4" t="s">
        <v>39</v>
      </c>
      <c r="F14" s="4" t="s">
        <v>29</v>
      </c>
      <c r="G14" s="4" t="s">
        <v>52</v>
      </c>
      <c r="H14" s="4" t="s">
        <v>45</v>
      </c>
      <c r="I14" s="4">
        <v>8.1</v>
      </c>
      <c r="J14" s="4" t="str">
        <f t="shared" si="0"/>
        <v>25-30</v>
      </c>
    </row>
    <row r="15" spans="1:10" x14ac:dyDescent="0.25">
      <c r="A15" s="4">
        <v>1014</v>
      </c>
      <c r="B15" s="4" t="s">
        <v>53</v>
      </c>
      <c r="C15" s="4">
        <v>39</v>
      </c>
      <c r="D15" s="4" t="s">
        <v>16</v>
      </c>
      <c r="E15" s="4" t="s">
        <v>11</v>
      </c>
      <c r="F15" s="4" t="s">
        <v>12</v>
      </c>
      <c r="G15" s="4" t="s">
        <v>54</v>
      </c>
      <c r="H15" s="4" t="s">
        <v>37</v>
      </c>
      <c r="I15" s="4">
        <v>10.3</v>
      </c>
      <c r="J15" s="4" t="str">
        <f t="shared" si="0"/>
        <v>31-40</v>
      </c>
    </row>
    <row r="16" spans="1:10" x14ac:dyDescent="0.25">
      <c r="A16" s="4">
        <v>1015</v>
      </c>
      <c r="B16" s="4" t="s">
        <v>55</v>
      </c>
      <c r="C16" s="4">
        <v>48</v>
      </c>
      <c r="D16" s="4" t="s">
        <v>10</v>
      </c>
      <c r="E16" s="4" t="s">
        <v>39</v>
      </c>
      <c r="F16" s="4" t="s">
        <v>12</v>
      </c>
      <c r="G16" s="4" t="s">
        <v>56</v>
      </c>
      <c r="H16" s="4" t="s">
        <v>37</v>
      </c>
      <c r="I16" s="4">
        <v>19.7</v>
      </c>
      <c r="J16" s="4" t="str">
        <f t="shared" si="0"/>
        <v>&gt;40</v>
      </c>
    </row>
    <row r="17" spans="1:10" x14ac:dyDescent="0.25">
      <c r="A17" s="4">
        <v>1016</v>
      </c>
      <c r="B17" s="4" t="s">
        <v>57</v>
      </c>
      <c r="C17" s="4">
        <v>46</v>
      </c>
      <c r="D17" s="4" t="s">
        <v>16</v>
      </c>
      <c r="E17" s="4" t="s">
        <v>11</v>
      </c>
      <c r="F17" s="4" t="s">
        <v>35</v>
      </c>
      <c r="G17" s="4" t="s">
        <v>58</v>
      </c>
      <c r="H17" s="4" t="s">
        <v>14</v>
      </c>
      <c r="I17" s="4">
        <v>13.9</v>
      </c>
      <c r="J17" s="4" t="str">
        <f t="shared" si="0"/>
        <v>&gt;40</v>
      </c>
    </row>
    <row r="18" spans="1:10" x14ac:dyDescent="0.25">
      <c r="A18" s="4">
        <v>1017</v>
      </c>
      <c r="B18" s="4" t="s">
        <v>59</v>
      </c>
      <c r="C18" s="4">
        <v>43</v>
      </c>
      <c r="D18" s="4" t="s">
        <v>16</v>
      </c>
      <c r="E18" s="4" t="s">
        <v>21</v>
      </c>
      <c r="F18" s="4" t="s">
        <v>22</v>
      </c>
      <c r="G18" s="4" t="s">
        <v>60</v>
      </c>
      <c r="H18" s="4" t="s">
        <v>14</v>
      </c>
      <c r="I18" s="4">
        <v>12.6</v>
      </c>
      <c r="J18" s="4" t="str">
        <f t="shared" si="0"/>
        <v>&gt;40</v>
      </c>
    </row>
    <row r="19" spans="1:10" x14ac:dyDescent="0.25">
      <c r="A19" s="4">
        <v>1018</v>
      </c>
      <c r="B19" s="4" t="s">
        <v>61</v>
      </c>
      <c r="C19" s="4">
        <v>45</v>
      </c>
      <c r="D19" s="4" t="s">
        <v>16</v>
      </c>
      <c r="E19" s="4" t="s">
        <v>21</v>
      </c>
      <c r="F19" s="4" t="s">
        <v>47</v>
      </c>
      <c r="G19" s="4" t="s">
        <v>62</v>
      </c>
      <c r="H19" s="4" t="s">
        <v>45</v>
      </c>
      <c r="I19" s="4">
        <v>14.9</v>
      </c>
      <c r="J19" s="4" t="str">
        <f t="shared" si="0"/>
        <v>&gt;40</v>
      </c>
    </row>
    <row r="20" spans="1:10" x14ac:dyDescent="0.25">
      <c r="A20" s="4">
        <v>1019</v>
      </c>
      <c r="B20" s="4" t="s">
        <v>63</v>
      </c>
      <c r="C20" s="4">
        <v>37</v>
      </c>
      <c r="D20" s="4" t="s">
        <v>16</v>
      </c>
      <c r="E20" s="4" t="s">
        <v>11</v>
      </c>
      <c r="F20" s="4" t="s">
        <v>29</v>
      </c>
      <c r="G20" s="4" t="s">
        <v>64</v>
      </c>
      <c r="H20" s="4" t="s">
        <v>45</v>
      </c>
      <c r="I20" s="4">
        <v>7.1</v>
      </c>
      <c r="J20" s="4" t="str">
        <f t="shared" si="0"/>
        <v>31-40</v>
      </c>
    </row>
    <row r="21" spans="1:10" x14ac:dyDescent="0.25">
      <c r="A21" s="4">
        <v>1020</v>
      </c>
      <c r="B21" s="4" t="s">
        <v>65</v>
      </c>
      <c r="C21" s="4">
        <v>31</v>
      </c>
      <c r="D21" s="4" t="s">
        <v>16</v>
      </c>
      <c r="E21" s="4" t="s">
        <v>11</v>
      </c>
      <c r="F21" s="4" t="s">
        <v>12</v>
      </c>
      <c r="G21" s="4" t="s">
        <v>66</v>
      </c>
      <c r="H21" s="4" t="s">
        <v>14</v>
      </c>
      <c r="I21" s="4">
        <v>8.3000000000000007</v>
      </c>
      <c r="J21" s="4" t="str">
        <f t="shared" si="0"/>
        <v>31-40</v>
      </c>
    </row>
    <row r="22" spans="1:10" x14ac:dyDescent="0.25">
      <c r="A22" s="4">
        <v>1021</v>
      </c>
      <c r="B22" s="4" t="s">
        <v>67</v>
      </c>
      <c r="C22" s="4">
        <v>45</v>
      </c>
      <c r="D22" s="4" t="s">
        <v>10</v>
      </c>
      <c r="E22" s="4" t="s">
        <v>34</v>
      </c>
      <c r="F22" s="4" t="s">
        <v>12</v>
      </c>
      <c r="G22" s="4" t="s">
        <v>68</v>
      </c>
      <c r="H22" s="4" t="s">
        <v>37</v>
      </c>
      <c r="I22" s="4">
        <v>19.2</v>
      </c>
      <c r="J22" s="4" t="str">
        <f t="shared" si="0"/>
        <v>&gt;40</v>
      </c>
    </row>
    <row r="23" spans="1:10" x14ac:dyDescent="0.25">
      <c r="A23" s="4">
        <v>1022</v>
      </c>
      <c r="B23" s="4" t="s">
        <v>69</v>
      </c>
      <c r="C23" s="4">
        <v>24</v>
      </c>
      <c r="D23" s="4" t="s">
        <v>10</v>
      </c>
      <c r="E23" s="4" t="s">
        <v>21</v>
      </c>
      <c r="F23" s="4" t="s">
        <v>35</v>
      </c>
      <c r="G23" s="4" t="s">
        <v>70</v>
      </c>
      <c r="H23" s="4" t="s">
        <v>27</v>
      </c>
      <c r="I23" s="4">
        <v>1.4</v>
      </c>
      <c r="J23" s="4" t="str">
        <f t="shared" si="0"/>
        <v>&lt;25</v>
      </c>
    </row>
    <row r="24" spans="1:10" x14ac:dyDescent="0.25">
      <c r="A24" s="4">
        <v>1023</v>
      </c>
      <c r="B24" s="4" t="s">
        <v>71</v>
      </c>
      <c r="C24" s="4">
        <v>42</v>
      </c>
      <c r="D24" s="4" t="s">
        <v>10</v>
      </c>
      <c r="E24" s="4" t="s">
        <v>11</v>
      </c>
      <c r="F24" s="4" t="s">
        <v>35</v>
      </c>
      <c r="G24" s="4" t="s">
        <v>72</v>
      </c>
      <c r="H24" s="4" t="s">
        <v>37</v>
      </c>
      <c r="I24" s="4">
        <v>14.6</v>
      </c>
      <c r="J24" s="4" t="str">
        <f t="shared" si="0"/>
        <v>&gt;40</v>
      </c>
    </row>
    <row r="25" spans="1:10" x14ac:dyDescent="0.25">
      <c r="A25" s="4">
        <v>1024</v>
      </c>
      <c r="B25" s="4" t="s">
        <v>73</v>
      </c>
      <c r="C25" s="4">
        <v>25</v>
      </c>
      <c r="D25" s="4" t="s">
        <v>10</v>
      </c>
      <c r="E25" s="4" t="s">
        <v>34</v>
      </c>
      <c r="F25" s="4" t="s">
        <v>35</v>
      </c>
      <c r="G25" s="4" t="s">
        <v>74</v>
      </c>
      <c r="H25" s="4" t="s">
        <v>14</v>
      </c>
      <c r="I25" s="4">
        <v>0.7</v>
      </c>
      <c r="J25" s="4" t="str">
        <f t="shared" si="0"/>
        <v>25-30</v>
      </c>
    </row>
    <row r="26" spans="1:10" x14ac:dyDescent="0.25">
      <c r="A26" s="4">
        <v>1025</v>
      </c>
      <c r="B26" s="4" t="s">
        <v>75</v>
      </c>
      <c r="C26" s="4">
        <v>42</v>
      </c>
      <c r="D26" s="4" t="s">
        <v>10</v>
      </c>
      <c r="E26" s="4" t="s">
        <v>21</v>
      </c>
      <c r="F26" s="4" t="s">
        <v>22</v>
      </c>
      <c r="G26" s="4" t="s">
        <v>76</v>
      </c>
      <c r="H26" s="4" t="s">
        <v>37</v>
      </c>
      <c r="I26" s="4">
        <v>17.3</v>
      </c>
      <c r="J26" s="4" t="str">
        <f t="shared" si="0"/>
        <v>&gt;40</v>
      </c>
    </row>
    <row r="27" spans="1:10" x14ac:dyDescent="0.25">
      <c r="A27" s="4">
        <v>1026</v>
      </c>
      <c r="B27" s="4" t="s">
        <v>77</v>
      </c>
      <c r="C27" s="4">
        <v>41</v>
      </c>
      <c r="D27" s="4" t="s">
        <v>10</v>
      </c>
      <c r="E27" s="4" t="s">
        <v>11</v>
      </c>
      <c r="F27" s="4" t="s">
        <v>47</v>
      </c>
      <c r="G27" s="4" t="s">
        <v>78</v>
      </c>
      <c r="H27" s="4" t="s">
        <v>24</v>
      </c>
      <c r="I27" s="4">
        <v>3.8</v>
      </c>
      <c r="J27" s="4" t="str">
        <f t="shared" si="0"/>
        <v>&gt;40</v>
      </c>
    </row>
    <row r="28" spans="1:10" x14ac:dyDescent="0.25">
      <c r="A28" s="4">
        <v>1027</v>
      </c>
      <c r="B28" s="4" t="s">
        <v>79</v>
      </c>
      <c r="C28" s="4">
        <v>47</v>
      </c>
      <c r="D28" s="4" t="s">
        <v>10</v>
      </c>
      <c r="E28" s="4" t="s">
        <v>34</v>
      </c>
      <c r="F28" s="4" t="s">
        <v>12</v>
      </c>
      <c r="G28" s="4" t="s">
        <v>80</v>
      </c>
      <c r="H28" s="4" t="s">
        <v>37</v>
      </c>
      <c r="I28" s="4">
        <v>11.6</v>
      </c>
      <c r="J28" s="4" t="str">
        <f t="shared" si="0"/>
        <v>&gt;40</v>
      </c>
    </row>
    <row r="29" spans="1:10" x14ac:dyDescent="0.25">
      <c r="A29" s="4">
        <v>1028</v>
      </c>
      <c r="B29" s="4" t="s">
        <v>81</v>
      </c>
      <c r="C29" s="4">
        <v>27</v>
      </c>
      <c r="D29" s="4" t="s">
        <v>16</v>
      </c>
      <c r="E29" s="4" t="s">
        <v>21</v>
      </c>
      <c r="F29" s="4" t="s">
        <v>22</v>
      </c>
      <c r="G29" s="4" t="s">
        <v>82</v>
      </c>
      <c r="H29" s="4" t="s">
        <v>24</v>
      </c>
      <c r="I29" s="4">
        <v>3.4</v>
      </c>
      <c r="J29" s="4" t="str">
        <f t="shared" si="0"/>
        <v>25-30</v>
      </c>
    </row>
    <row r="30" spans="1:10" x14ac:dyDescent="0.25">
      <c r="A30" s="4">
        <v>1029</v>
      </c>
      <c r="B30" s="4" t="s">
        <v>83</v>
      </c>
      <c r="C30" s="4">
        <v>43</v>
      </c>
      <c r="D30" s="4" t="s">
        <v>10</v>
      </c>
      <c r="E30" s="4" t="s">
        <v>21</v>
      </c>
      <c r="F30" s="4" t="s">
        <v>22</v>
      </c>
      <c r="G30" s="4" t="s">
        <v>84</v>
      </c>
      <c r="H30" s="4" t="s">
        <v>45</v>
      </c>
      <c r="I30" s="4">
        <v>3.1</v>
      </c>
      <c r="J30" s="4" t="str">
        <f t="shared" si="0"/>
        <v>&gt;40</v>
      </c>
    </row>
    <row r="31" spans="1:10" x14ac:dyDescent="0.25">
      <c r="A31" s="4">
        <v>1030</v>
      </c>
      <c r="B31" s="4" t="s">
        <v>85</v>
      </c>
      <c r="C31" s="4">
        <v>41</v>
      </c>
      <c r="D31" s="4" t="s">
        <v>16</v>
      </c>
      <c r="E31" s="4" t="s">
        <v>21</v>
      </c>
      <c r="F31" s="4" t="s">
        <v>47</v>
      </c>
      <c r="G31" s="4" t="s">
        <v>86</v>
      </c>
      <c r="H31" s="4" t="s">
        <v>19</v>
      </c>
      <c r="I31" s="4">
        <v>0.9</v>
      </c>
      <c r="J31" s="4" t="str">
        <f t="shared" si="0"/>
        <v>&gt;40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ED138-FB6A-47C3-BD78-8EBB27EF56D0}">
  <dimension ref="A3:F111"/>
  <sheetViews>
    <sheetView workbookViewId="0">
      <selection activeCell="D7" sqref="D7"/>
    </sheetView>
  </sheetViews>
  <sheetFormatPr defaultRowHeight="13.8" x14ac:dyDescent="0.25"/>
  <cols>
    <col min="1" max="1" width="18.59765625" bestFit="1" customWidth="1"/>
    <col min="2" max="2" width="16" bestFit="1" customWidth="1"/>
    <col min="3" max="3" width="5.8984375" bestFit="1" customWidth="1"/>
    <col min="4" max="4" width="11.09765625" bestFit="1" customWidth="1"/>
    <col min="5" max="5" width="5.69921875" bestFit="1" customWidth="1"/>
    <col min="6" max="6" width="11.09765625" bestFit="1" customWidth="1"/>
    <col min="7" max="7" width="4.8984375" customWidth="1"/>
    <col min="8" max="21" width="4.5" bestFit="1" customWidth="1"/>
    <col min="22" max="22" width="9.69921875" bestFit="1" customWidth="1"/>
  </cols>
  <sheetData>
    <row r="3" spans="1:2" x14ac:dyDescent="0.25">
      <c r="A3" s="2" t="s">
        <v>87</v>
      </c>
      <c r="B3" t="s">
        <v>94</v>
      </c>
    </row>
    <row r="4" spans="1:2" x14ac:dyDescent="0.25">
      <c r="A4" s="3" t="s">
        <v>39</v>
      </c>
      <c r="B4" s="5">
        <v>3036</v>
      </c>
    </row>
    <row r="5" spans="1:2" x14ac:dyDescent="0.25">
      <c r="A5" s="3" t="s">
        <v>34</v>
      </c>
      <c r="B5" s="5">
        <v>6101</v>
      </c>
    </row>
    <row r="6" spans="1:2" x14ac:dyDescent="0.25">
      <c r="A6" s="3" t="s">
        <v>17</v>
      </c>
      <c r="B6" s="5">
        <v>3015</v>
      </c>
    </row>
    <row r="7" spans="1:2" x14ac:dyDescent="0.25">
      <c r="A7" s="3" t="s">
        <v>11</v>
      </c>
      <c r="B7" s="5">
        <v>9135</v>
      </c>
    </row>
    <row r="8" spans="1:2" x14ac:dyDescent="0.25">
      <c r="A8" s="3" t="s">
        <v>21</v>
      </c>
      <c r="B8" s="5">
        <v>9178</v>
      </c>
    </row>
    <row r="9" spans="1:2" x14ac:dyDescent="0.25">
      <c r="A9" s="3" t="s">
        <v>88</v>
      </c>
      <c r="B9" s="5">
        <v>30465</v>
      </c>
    </row>
    <row r="14" spans="1:2" x14ac:dyDescent="0.25">
      <c r="A14" s="2" t="s">
        <v>87</v>
      </c>
      <c r="B14" t="s">
        <v>94</v>
      </c>
    </row>
    <row r="15" spans="1:2" x14ac:dyDescent="0.25">
      <c r="A15" s="3" t="s">
        <v>47</v>
      </c>
      <c r="B15" s="5">
        <v>4085</v>
      </c>
    </row>
    <row r="16" spans="1:2" x14ac:dyDescent="0.25">
      <c r="A16" s="3" t="s">
        <v>29</v>
      </c>
      <c r="B16" s="5">
        <v>5059</v>
      </c>
    </row>
    <row r="17" spans="1:2" x14ac:dyDescent="0.25">
      <c r="A17" s="3" t="s">
        <v>12</v>
      </c>
      <c r="B17" s="5">
        <v>8109</v>
      </c>
    </row>
    <row r="18" spans="1:2" x14ac:dyDescent="0.25">
      <c r="A18" s="3" t="s">
        <v>35</v>
      </c>
      <c r="B18" s="5">
        <v>6100</v>
      </c>
    </row>
    <row r="19" spans="1:2" x14ac:dyDescent="0.25">
      <c r="A19" s="3" t="s">
        <v>22</v>
      </c>
      <c r="B19" s="5">
        <v>7112</v>
      </c>
    </row>
    <row r="20" spans="1:2" x14ac:dyDescent="0.25">
      <c r="A20" s="3" t="s">
        <v>88</v>
      </c>
      <c r="B20" s="5">
        <v>30465</v>
      </c>
    </row>
    <row r="25" spans="1:2" x14ac:dyDescent="0.25">
      <c r="A25" s="2" t="s">
        <v>87</v>
      </c>
      <c r="B25" t="s">
        <v>94</v>
      </c>
    </row>
    <row r="26" spans="1:2" x14ac:dyDescent="0.25">
      <c r="A26" s="3" t="s">
        <v>37</v>
      </c>
      <c r="B26" s="5">
        <v>7132</v>
      </c>
    </row>
    <row r="27" spans="1:2" x14ac:dyDescent="0.25">
      <c r="A27" s="3" t="s">
        <v>24</v>
      </c>
      <c r="B27" s="5">
        <v>6077</v>
      </c>
    </row>
    <row r="28" spans="1:2" x14ac:dyDescent="0.25">
      <c r="A28" s="3" t="s">
        <v>19</v>
      </c>
      <c r="B28" s="5">
        <v>4055</v>
      </c>
    </row>
    <row r="29" spans="1:2" x14ac:dyDescent="0.25">
      <c r="A29" s="3" t="s">
        <v>14</v>
      </c>
      <c r="B29" s="5">
        <v>6086</v>
      </c>
    </row>
    <row r="30" spans="1:2" x14ac:dyDescent="0.25">
      <c r="A30" s="3" t="s">
        <v>27</v>
      </c>
      <c r="B30" s="5">
        <v>2026</v>
      </c>
    </row>
    <row r="31" spans="1:2" x14ac:dyDescent="0.25">
      <c r="A31" s="3" t="s">
        <v>45</v>
      </c>
      <c r="B31" s="5">
        <v>5089</v>
      </c>
    </row>
    <row r="32" spans="1:2" x14ac:dyDescent="0.25">
      <c r="A32" s="3" t="s">
        <v>88</v>
      </c>
      <c r="B32" s="5">
        <v>30465</v>
      </c>
    </row>
    <row r="36" spans="1:4" x14ac:dyDescent="0.25">
      <c r="A36" s="2" t="s">
        <v>87</v>
      </c>
      <c r="B36" t="s">
        <v>94</v>
      </c>
    </row>
    <row r="37" spans="1:4" x14ac:dyDescent="0.25">
      <c r="A37" s="3" t="s">
        <v>16</v>
      </c>
      <c r="B37" s="5">
        <v>15204</v>
      </c>
    </row>
    <row r="38" spans="1:4" x14ac:dyDescent="0.25">
      <c r="A38" s="3" t="s">
        <v>10</v>
      </c>
      <c r="B38" s="5">
        <v>15261</v>
      </c>
    </row>
    <row r="39" spans="1:4" x14ac:dyDescent="0.25">
      <c r="A39" s="3" t="s">
        <v>88</v>
      </c>
      <c r="B39" s="5">
        <v>30465</v>
      </c>
    </row>
    <row r="44" spans="1:4" x14ac:dyDescent="0.25">
      <c r="A44" s="2" t="s">
        <v>94</v>
      </c>
      <c r="B44" s="2" t="s">
        <v>95</v>
      </c>
    </row>
    <row r="45" spans="1:4" x14ac:dyDescent="0.25">
      <c r="A45" s="2" t="s">
        <v>87</v>
      </c>
      <c r="B45" t="s">
        <v>16</v>
      </c>
      <c r="C45" t="s">
        <v>10</v>
      </c>
      <c r="D45" t="s">
        <v>88</v>
      </c>
    </row>
    <row r="46" spans="1:4" x14ac:dyDescent="0.25">
      <c r="A46" s="3" t="s">
        <v>37</v>
      </c>
      <c r="B46" s="5">
        <v>1014</v>
      </c>
      <c r="C46" s="5">
        <v>6118</v>
      </c>
      <c r="D46" s="5">
        <v>7132</v>
      </c>
    </row>
    <row r="47" spans="1:4" x14ac:dyDescent="0.25">
      <c r="A47" s="3" t="s">
        <v>24</v>
      </c>
      <c r="B47" s="5">
        <v>4046</v>
      </c>
      <c r="C47" s="5">
        <v>2031</v>
      </c>
      <c r="D47" s="5">
        <v>6077</v>
      </c>
    </row>
    <row r="48" spans="1:4" x14ac:dyDescent="0.25">
      <c r="A48" s="3" t="s">
        <v>19</v>
      </c>
      <c r="B48" s="5">
        <v>2032</v>
      </c>
      <c r="C48" s="5">
        <v>2023</v>
      </c>
      <c r="D48" s="5">
        <v>4055</v>
      </c>
    </row>
    <row r="49" spans="1:4" x14ac:dyDescent="0.25">
      <c r="A49" s="3" t="s">
        <v>14</v>
      </c>
      <c r="B49" s="5">
        <v>4061</v>
      </c>
      <c r="C49" s="5">
        <v>2025</v>
      </c>
      <c r="D49" s="5">
        <v>6086</v>
      </c>
    </row>
    <row r="50" spans="1:4" x14ac:dyDescent="0.25">
      <c r="A50" s="3" t="s">
        <v>27</v>
      </c>
      <c r="B50" s="5">
        <v>1004</v>
      </c>
      <c r="C50" s="5">
        <v>1022</v>
      </c>
      <c r="D50" s="5">
        <v>2026</v>
      </c>
    </row>
    <row r="51" spans="1:4" x14ac:dyDescent="0.25">
      <c r="A51" s="3" t="s">
        <v>45</v>
      </c>
      <c r="B51" s="5">
        <v>3047</v>
      </c>
      <c r="C51" s="5">
        <v>2042</v>
      </c>
      <c r="D51" s="5">
        <v>5089</v>
      </c>
    </row>
    <row r="52" spans="1:4" x14ac:dyDescent="0.25">
      <c r="A52" s="3" t="s">
        <v>88</v>
      </c>
      <c r="B52" s="5">
        <v>15204</v>
      </c>
      <c r="C52" s="5">
        <v>15261</v>
      </c>
      <c r="D52" s="5">
        <v>30465</v>
      </c>
    </row>
    <row r="56" spans="1:4" x14ac:dyDescent="0.25">
      <c r="A56" s="2" t="s">
        <v>94</v>
      </c>
      <c r="B56" s="2" t="s">
        <v>95</v>
      </c>
    </row>
    <row r="57" spans="1:4" x14ac:dyDescent="0.25">
      <c r="A57" s="2" t="s">
        <v>87</v>
      </c>
      <c r="B57" t="s">
        <v>16</v>
      </c>
      <c r="C57" t="s">
        <v>10</v>
      </c>
      <c r="D57" t="s">
        <v>88</v>
      </c>
    </row>
    <row r="58" spans="1:4" x14ac:dyDescent="0.25">
      <c r="A58" s="3" t="s">
        <v>47</v>
      </c>
      <c r="B58" s="5">
        <v>2048</v>
      </c>
      <c r="C58" s="5">
        <v>2037</v>
      </c>
      <c r="D58" s="5">
        <v>4085</v>
      </c>
    </row>
    <row r="59" spans="1:4" x14ac:dyDescent="0.25">
      <c r="A59" s="3" t="s">
        <v>29</v>
      </c>
      <c r="B59" s="5">
        <v>2029</v>
      </c>
      <c r="C59" s="5">
        <v>3030</v>
      </c>
      <c r="D59" s="5">
        <v>5059</v>
      </c>
    </row>
    <row r="60" spans="1:4" x14ac:dyDescent="0.25">
      <c r="A60" s="3" t="s">
        <v>12</v>
      </c>
      <c r="B60" s="5">
        <v>4045</v>
      </c>
      <c r="C60" s="5">
        <v>4064</v>
      </c>
      <c r="D60" s="5">
        <v>8109</v>
      </c>
    </row>
    <row r="61" spans="1:4" x14ac:dyDescent="0.25">
      <c r="A61" s="3" t="s">
        <v>35</v>
      </c>
      <c r="B61" s="5">
        <v>2024</v>
      </c>
      <c r="C61" s="5">
        <v>4076</v>
      </c>
      <c r="D61" s="5">
        <v>6100</v>
      </c>
    </row>
    <row r="62" spans="1:4" x14ac:dyDescent="0.25">
      <c r="A62" s="3" t="s">
        <v>22</v>
      </c>
      <c r="B62" s="5">
        <v>5058</v>
      </c>
      <c r="C62" s="5">
        <v>2054</v>
      </c>
      <c r="D62" s="5">
        <v>7112</v>
      </c>
    </row>
    <row r="63" spans="1:4" x14ac:dyDescent="0.25">
      <c r="A63" s="3" t="s">
        <v>88</v>
      </c>
      <c r="B63" s="5">
        <v>15204</v>
      </c>
      <c r="C63" s="5">
        <v>15261</v>
      </c>
      <c r="D63" s="5">
        <v>30465</v>
      </c>
    </row>
    <row r="67" spans="1:6" x14ac:dyDescent="0.25">
      <c r="A67" s="2" t="s">
        <v>94</v>
      </c>
      <c r="B67" s="2" t="s">
        <v>95</v>
      </c>
    </row>
    <row r="68" spans="1:6" x14ac:dyDescent="0.25">
      <c r="A68" s="2" t="s">
        <v>87</v>
      </c>
      <c r="B68" t="s">
        <v>16</v>
      </c>
      <c r="C68" t="s">
        <v>10</v>
      </c>
      <c r="D68" t="s">
        <v>88</v>
      </c>
    </row>
    <row r="69" spans="1:6" x14ac:dyDescent="0.25">
      <c r="A69" s="3" t="s">
        <v>90</v>
      </c>
      <c r="B69" s="5">
        <v>1003</v>
      </c>
      <c r="C69" s="5">
        <v>2029</v>
      </c>
      <c r="D69" s="5">
        <v>3032</v>
      </c>
    </row>
    <row r="70" spans="1:6" x14ac:dyDescent="0.25">
      <c r="A70" s="3" t="s">
        <v>91</v>
      </c>
      <c r="B70" s="5">
        <v>7103</v>
      </c>
      <c r="C70" s="5">
        <v>8178</v>
      </c>
      <c r="D70" s="5">
        <v>15281</v>
      </c>
    </row>
    <row r="71" spans="1:6" x14ac:dyDescent="0.25">
      <c r="A71" s="3" t="s">
        <v>92</v>
      </c>
      <c r="B71" s="5">
        <v>3039</v>
      </c>
      <c r="C71" s="5">
        <v>3042</v>
      </c>
      <c r="D71" s="5">
        <v>6081</v>
      </c>
    </row>
    <row r="72" spans="1:6" x14ac:dyDescent="0.25">
      <c r="A72" s="3" t="s">
        <v>93</v>
      </c>
      <c r="B72" s="5">
        <v>4059</v>
      </c>
      <c r="C72" s="5">
        <v>2012</v>
      </c>
      <c r="D72" s="5">
        <v>6071</v>
      </c>
    </row>
    <row r="73" spans="1:6" x14ac:dyDescent="0.25">
      <c r="A73" s="3" t="s">
        <v>88</v>
      </c>
      <c r="B73" s="5">
        <v>15204</v>
      </c>
      <c r="C73" s="5">
        <v>15261</v>
      </c>
      <c r="D73" s="5">
        <v>30465</v>
      </c>
    </row>
    <row r="78" spans="1:6" x14ac:dyDescent="0.25">
      <c r="A78" s="2" t="s">
        <v>94</v>
      </c>
      <c r="B78" s="2" t="s">
        <v>95</v>
      </c>
    </row>
    <row r="79" spans="1:6" x14ac:dyDescent="0.25">
      <c r="A79" s="2" t="s">
        <v>87</v>
      </c>
      <c r="B79" t="s">
        <v>90</v>
      </c>
      <c r="C79" t="s">
        <v>91</v>
      </c>
      <c r="D79" t="s">
        <v>92</v>
      </c>
      <c r="E79" t="s">
        <v>93</v>
      </c>
      <c r="F79" t="s">
        <v>88</v>
      </c>
    </row>
    <row r="80" spans="1:6" x14ac:dyDescent="0.25">
      <c r="A80" s="3" t="s">
        <v>39</v>
      </c>
      <c r="B80" s="5"/>
      <c r="C80" s="5">
        <v>2023</v>
      </c>
      <c r="D80" s="5">
        <v>1013</v>
      </c>
      <c r="E80" s="5"/>
      <c r="F80" s="5">
        <v>3036</v>
      </c>
    </row>
    <row r="81" spans="1:6" x14ac:dyDescent="0.25">
      <c r="A81" s="3" t="s">
        <v>34</v>
      </c>
      <c r="B81" s="5">
        <v>1007</v>
      </c>
      <c r="C81" s="5">
        <v>4070</v>
      </c>
      <c r="D81" s="5">
        <v>1024</v>
      </c>
      <c r="E81" s="5"/>
      <c r="F81" s="5">
        <v>6101</v>
      </c>
    </row>
    <row r="82" spans="1:6" x14ac:dyDescent="0.25">
      <c r="A82" s="3" t="s">
        <v>17</v>
      </c>
      <c r="B82" s="5"/>
      <c r="C82" s="5">
        <v>1004</v>
      </c>
      <c r="D82" s="5">
        <v>2011</v>
      </c>
      <c r="E82" s="5"/>
      <c r="F82" s="5">
        <v>3015</v>
      </c>
    </row>
    <row r="83" spans="1:6" x14ac:dyDescent="0.25">
      <c r="A83" s="3" t="s">
        <v>11</v>
      </c>
      <c r="B83" s="5"/>
      <c r="C83" s="5">
        <v>3065</v>
      </c>
      <c r="D83" s="5">
        <v>1005</v>
      </c>
      <c r="E83" s="5">
        <v>5065</v>
      </c>
      <c r="F83" s="5">
        <v>9135</v>
      </c>
    </row>
    <row r="84" spans="1:6" x14ac:dyDescent="0.25">
      <c r="A84" s="3" t="s">
        <v>21</v>
      </c>
      <c r="B84" s="5">
        <v>2025</v>
      </c>
      <c r="C84" s="5">
        <v>5119</v>
      </c>
      <c r="D84" s="5">
        <v>1028</v>
      </c>
      <c r="E84" s="5">
        <v>1006</v>
      </c>
      <c r="F84" s="5">
        <v>9178</v>
      </c>
    </row>
    <row r="85" spans="1:6" x14ac:dyDescent="0.25">
      <c r="A85" s="3" t="s">
        <v>88</v>
      </c>
      <c r="B85" s="5">
        <v>3032</v>
      </c>
      <c r="C85" s="5">
        <v>15281</v>
      </c>
      <c r="D85" s="5">
        <v>6081</v>
      </c>
      <c r="E85" s="5">
        <v>6071</v>
      </c>
      <c r="F85" s="5">
        <v>30465</v>
      </c>
    </row>
    <row r="91" spans="1:6" x14ac:dyDescent="0.25">
      <c r="A91" s="2" t="s">
        <v>94</v>
      </c>
      <c r="B91" s="2" t="s">
        <v>95</v>
      </c>
    </row>
    <row r="92" spans="1:6" x14ac:dyDescent="0.25">
      <c r="A92" s="2" t="s">
        <v>87</v>
      </c>
      <c r="B92" t="s">
        <v>90</v>
      </c>
      <c r="C92" t="s">
        <v>91</v>
      </c>
      <c r="D92" t="s">
        <v>92</v>
      </c>
      <c r="E92" t="s">
        <v>93</v>
      </c>
      <c r="F92" t="s">
        <v>88</v>
      </c>
    </row>
    <row r="93" spans="1:6" x14ac:dyDescent="0.25">
      <c r="A93" s="3" t="s">
        <v>37</v>
      </c>
      <c r="B93" s="5">
        <v>1007</v>
      </c>
      <c r="C93" s="5">
        <v>5111</v>
      </c>
      <c r="D93" s="5"/>
      <c r="E93" s="5">
        <v>1014</v>
      </c>
      <c r="F93" s="5">
        <v>7132</v>
      </c>
    </row>
    <row r="94" spans="1:6" x14ac:dyDescent="0.25">
      <c r="A94" s="3" t="s">
        <v>24</v>
      </c>
      <c r="B94" s="5">
        <v>1003</v>
      </c>
      <c r="C94" s="5">
        <v>1026</v>
      </c>
      <c r="D94" s="5">
        <v>3042</v>
      </c>
      <c r="E94" s="5">
        <v>1006</v>
      </c>
      <c r="F94" s="5">
        <v>6077</v>
      </c>
    </row>
    <row r="95" spans="1:6" x14ac:dyDescent="0.25">
      <c r="A95" s="3" t="s">
        <v>19</v>
      </c>
      <c r="B95" s="5"/>
      <c r="C95" s="5">
        <v>2042</v>
      </c>
      <c r="D95" s="5">
        <v>1002</v>
      </c>
      <c r="E95" s="5">
        <v>1011</v>
      </c>
      <c r="F95" s="5">
        <v>4055</v>
      </c>
    </row>
    <row r="96" spans="1:6" x14ac:dyDescent="0.25">
      <c r="A96" s="3" t="s">
        <v>14</v>
      </c>
      <c r="B96" s="5"/>
      <c r="C96" s="5">
        <v>3041</v>
      </c>
      <c r="D96" s="5">
        <v>1024</v>
      </c>
      <c r="E96" s="5">
        <v>2021</v>
      </c>
      <c r="F96" s="5">
        <v>6086</v>
      </c>
    </row>
    <row r="97" spans="1:6" x14ac:dyDescent="0.25">
      <c r="A97" s="3" t="s">
        <v>27</v>
      </c>
      <c r="B97" s="5">
        <v>1022</v>
      </c>
      <c r="C97" s="5">
        <v>1004</v>
      </c>
      <c r="D97" s="5"/>
      <c r="E97" s="5"/>
      <c r="F97" s="5">
        <v>2026</v>
      </c>
    </row>
    <row r="98" spans="1:6" x14ac:dyDescent="0.25">
      <c r="A98" s="3" t="s">
        <v>45</v>
      </c>
      <c r="B98" s="5"/>
      <c r="C98" s="5">
        <v>3057</v>
      </c>
      <c r="D98" s="5">
        <v>1013</v>
      </c>
      <c r="E98" s="5">
        <v>1019</v>
      </c>
      <c r="F98" s="5">
        <v>5089</v>
      </c>
    </row>
    <row r="99" spans="1:6" x14ac:dyDescent="0.25">
      <c r="A99" s="3" t="s">
        <v>88</v>
      </c>
      <c r="B99" s="5">
        <v>3032</v>
      </c>
      <c r="C99" s="5">
        <v>15281</v>
      </c>
      <c r="D99" s="5">
        <v>6081</v>
      </c>
      <c r="E99" s="5">
        <v>6071</v>
      </c>
      <c r="F99" s="5">
        <v>30465</v>
      </c>
    </row>
    <row r="103" spans="1:6" x14ac:dyDescent="0.25">
      <c r="A103" s="2" t="s">
        <v>94</v>
      </c>
      <c r="B103" s="2" t="s">
        <v>95</v>
      </c>
    </row>
    <row r="104" spans="1:6" x14ac:dyDescent="0.25">
      <c r="A104" s="2" t="s">
        <v>87</v>
      </c>
      <c r="B104" t="s">
        <v>16</v>
      </c>
      <c r="C104" t="s">
        <v>10</v>
      </c>
      <c r="D104" t="s">
        <v>88</v>
      </c>
    </row>
    <row r="105" spans="1:6" x14ac:dyDescent="0.25">
      <c r="A105" s="3" t="s">
        <v>37</v>
      </c>
      <c r="B105" s="5">
        <v>1014</v>
      </c>
      <c r="C105" s="5">
        <v>6118</v>
      </c>
      <c r="D105" s="5">
        <v>7132</v>
      </c>
    </row>
    <row r="106" spans="1:6" x14ac:dyDescent="0.25">
      <c r="A106" s="3" t="s">
        <v>24</v>
      </c>
      <c r="B106" s="5">
        <v>4046</v>
      </c>
      <c r="C106" s="5">
        <v>2031</v>
      </c>
      <c r="D106" s="5">
        <v>6077</v>
      </c>
    </row>
    <row r="107" spans="1:6" x14ac:dyDescent="0.25">
      <c r="A107" s="3" t="s">
        <v>19</v>
      </c>
      <c r="B107" s="5">
        <v>2032</v>
      </c>
      <c r="C107" s="5">
        <v>2023</v>
      </c>
      <c r="D107" s="5">
        <v>4055</v>
      </c>
    </row>
    <row r="108" spans="1:6" x14ac:dyDescent="0.25">
      <c r="A108" s="3" t="s">
        <v>14</v>
      </c>
      <c r="B108" s="5">
        <v>4061</v>
      </c>
      <c r="C108" s="5">
        <v>2025</v>
      </c>
      <c r="D108" s="5">
        <v>6086</v>
      </c>
    </row>
    <row r="109" spans="1:6" x14ac:dyDescent="0.25">
      <c r="A109" s="3" t="s">
        <v>27</v>
      </c>
      <c r="B109" s="5">
        <v>1004</v>
      </c>
      <c r="C109" s="5">
        <v>1022</v>
      </c>
      <c r="D109" s="5">
        <v>2026</v>
      </c>
    </row>
    <row r="110" spans="1:6" x14ac:dyDescent="0.25">
      <c r="A110" s="3" t="s">
        <v>45</v>
      </c>
      <c r="B110" s="5">
        <v>3047</v>
      </c>
      <c r="C110" s="5">
        <v>2042</v>
      </c>
      <c r="D110" s="5">
        <v>5089</v>
      </c>
    </row>
    <row r="111" spans="1:6" x14ac:dyDescent="0.25">
      <c r="A111" s="3" t="s">
        <v>88</v>
      </c>
      <c r="B111" s="5">
        <v>15204</v>
      </c>
      <c r="C111" s="5">
        <v>15261</v>
      </c>
      <c r="D111" s="5">
        <v>30465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C0AE8-1152-4F94-ABCB-596B87EFA1C0}">
  <dimension ref="A1"/>
  <sheetViews>
    <sheetView showGridLines="0" tabSelected="1" topLeftCell="A20" zoomScale="65" zoomScaleNormal="65" workbookViewId="0">
      <selection activeCell="F59" sqref="F59"/>
    </sheetView>
  </sheetViews>
  <sheetFormatPr defaultRowHeight="13.8" x14ac:dyDescent="0.25"/>
  <cols>
    <col min="1" max="1" width="18.19921875" customWidth="1"/>
    <col min="2" max="2" width="14" bestFit="1" customWidth="1"/>
    <col min="3" max="3" width="5.3984375" bestFit="1" customWidth="1"/>
    <col min="4" max="4" width="9.69921875" bestFit="1" customWidth="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Sheet2</vt:lpstr>
      <vt:lpstr>HR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Daniel Daniel</cp:lastModifiedBy>
  <dcterms:created xsi:type="dcterms:W3CDTF">2025-07-27T23:36:09Z</dcterms:created>
  <dcterms:modified xsi:type="dcterms:W3CDTF">2026-02-11T01:05:25Z</dcterms:modified>
</cp:coreProperties>
</file>